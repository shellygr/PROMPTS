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lly/Certora/PROMPTS/"/>
    </mc:Choice>
  </mc:AlternateContent>
  <xr:revisionPtr revIDLastSave="0" documentId="13_ncr:8001_{32327FC3-6B32-4540-97E4-0E5193F00787}" xr6:coauthVersionLast="47" xr6:coauthVersionMax="47" xr10:uidLastSave="{00000000-0000-0000-0000-000000000000}"/>
  <bookViews>
    <workbookView xWindow="-60860" yWindow="-2120" windowWidth="44440" windowHeight="17860" activeTab="1" xr2:uid="{AEE14CAB-8400-554A-9B8C-7889A14A0A87}"/>
  </bookViews>
  <sheets>
    <sheet name="won_opps_2026_normalized" sheetId="1" r:id="rId1"/>
    <sheet name="peop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" i="2" l="1"/>
  <c r="L28" i="2"/>
  <c r="N28" i="2" s="1"/>
  <c r="O28" i="2" s="1"/>
  <c r="L27" i="2"/>
  <c r="N27" i="2" s="1"/>
  <c r="O27" i="2" s="1"/>
  <c r="P27" i="2" s="1"/>
  <c r="K38" i="2"/>
  <c r="K44" i="2"/>
  <c r="L44" i="2" s="1"/>
  <c r="K41" i="2"/>
  <c r="K32" i="2"/>
  <c r="L22" i="2"/>
  <c r="H8" i="2"/>
  <c r="I12" i="2"/>
  <c r="H12" i="2"/>
  <c r="I4" i="2"/>
  <c r="H4" i="2"/>
  <c r="I8" i="2"/>
  <c r="D58" i="2"/>
  <c r="D73" i="2"/>
  <c r="D102" i="2"/>
  <c r="D104" i="2"/>
  <c r="D2" i="2"/>
  <c r="D103" i="2"/>
  <c r="D92" i="2"/>
  <c r="D101" i="2"/>
  <c r="D3" i="2"/>
  <c r="D100" i="2"/>
  <c r="D99" i="2"/>
  <c r="D4" i="2"/>
  <c r="D5" i="2"/>
  <c r="D6" i="2"/>
  <c r="D98" i="2"/>
  <c r="D7" i="2"/>
  <c r="D8" i="2"/>
  <c r="D97" i="2"/>
  <c r="D96" i="2"/>
  <c r="D95" i="2"/>
  <c r="D94" i="2"/>
  <c r="D9" i="2"/>
  <c r="D93" i="2"/>
  <c r="D91" i="2"/>
  <c r="D90" i="2"/>
  <c r="D89" i="2"/>
  <c r="D10" i="2"/>
  <c r="D88" i="2"/>
  <c r="D87" i="2"/>
  <c r="D86" i="2"/>
  <c r="D11" i="2"/>
  <c r="D85" i="2"/>
  <c r="D83" i="2"/>
  <c r="D84" i="2"/>
  <c r="D82" i="2"/>
  <c r="D12" i="2"/>
  <c r="D81" i="2"/>
  <c r="D80" i="2"/>
  <c r="D79" i="2"/>
  <c r="D13" i="2"/>
  <c r="D78" i="2"/>
  <c r="D77" i="2"/>
  <c r="D76" i="2"/>
  <c r="D75" i="2"/>
  <c r="D74" i="2"/>
  <c r="D46" i="2"/>
  <c r="D71" i="2"/>
  <c r="D72" i="2"/>
  <c r="D70" i="2"/>
  <c r="D69" i="2"/>
  <c r="D68" i="2"/>
  <c r="D67" i="2"/>
  <c r="D65" i="2"/>
  <c r="D66" i="2"/>
  <c r="D64" i="2"/>
  <c r="D63" i="2"/>
  <c r="D62" i="2"/>
  <c r="D61" i="2"/>
  <c r="D60" i="2"/>
  <c r="D14" i="2"/>
  <c r="D59" i="2"/>
  <c r="D57" i="2"/>
  <c r="D56" i="2"/>
  <c r="D55" i="2"/>
  <c r="D54" i="2"/>
  <c r="D15" i="2"/>
  <c r="D51" i="2"/>
  <c r="D16" i="2"/>
  <c r="D52" i="2"/>
  <c r="D17" i="2"/>
  <c r="D18" i="2"/>
  <c r="D19" i="2"/>
  <c r="D53" i="2"/>
  <c r="D50" i="2"/>
  <c r="D49" i="2"/>
  <c r="D48" i="2"/>
  <c r="D47" i="2"/>
  <c r="D20" i="2"/>
  <c r="D45" i="2"/>
  <c r="D44" i="2"/>
  <c r="D43" i="2"/>
  <c r="D42" i="2"/>
  <c r="D41" i="2"/>
  <c r="D40" i="2"/>
  <c r="D39" i="2"/>
  <c r="D38" i="2"/>
  <c r="D21" i="2"/>
  <c r="D22" i="2"/>
  <c r="D23" i="2"/>
  <c r="D36" i="2"/>
  <c r="D37" i="2"/>
  <c r="D35" i="2"/>
  <c r="D34" i="2"/>
  <c r="D33" i="2"/>
  <c r="D24" i="2"/>
  <c r="D31" i="2"/>
  <c r="D32" i="2"/>
  <c r="D30" i="2"/>
  <c r="D29" i="2"/>
  <c r="D28" i="2"/>
  <c r="D27" i="2"/>
  <c r="D26" i="2"/>
  <c r="D25" i="2"/>
  <c r="M7" i="2"/>
  <c r="L25" i="1"/>
  <c r="L48" i="1"/>
  <c r="L41" i="1"/>
  <c r="L39" i="1"/>
  <c r="L34" i="1"/>
  <c r="L24" i="1"/>
  <c r="L16" i="1"/>
  <c r="L42" i="1"/>
  <c r="L9" i="1"/>
  <c r="L6" i="1"/>
  <c r="L40" i="1"/>
  <c r="L38" i="1"/>
  <c r="L36" i="1"/>
  <c r="L26" i="1"/>
  <c r="L27" i="1"/>
  <c r="L50" i="1"/>
  <c r="M50" i="1" s="1"/>
  <c r="L35" i="1"/>
  <c r="L23" i="1"/>
  <c r="L20" i="1"/>
  <c r="L37" i="1"/>
  <c r="L43" i="1"/>
  <c r="L51" i="1"/>
  <c r="L44" i="1"/>
  <c r="L21" i="1"/>
  <c r="L28" i="1"/>
  <c r="L7" i="1"/>
  <c r="L17" i="1"/>
  <c r="L13" i="1"/>
  <c r="L54" i="1"/>
  <c r="L14" i="1"/>
  <c r="L15" i="1"/>
  <c r="L12" i="1"/>
  <c r="L55" i="1"/>
  <c r="L56" i="1"/>
  <c r="L45" i="1"/>
  <c r="L18" i="1"/>
  <c r="L29" i="1"/>
  <c r="L30" i="1"/>
  <c r="L10" i="1"/>
  <c r="L57" i="1"/>
  <c r="L11" i="1"/>
  <c r="L19" i="1"/>
  <c r="L33" i="1"/>
  <c r="L22" i="1"/>
  <c r="L31" i="1"/>
  <c r="L32" i="1"/>
  <c r="L60" i="1"/>
  <c r="L5" i="1"/>
  <c r="L46" i="1"/>
  <c r="L62" i="1"/>
  <c r="L8" i="1"/>
  <c r="L2" i="1"/>
  <c r="L3" i="1"/>
  <c r="L4" i="1"/>
  <c r="L65" i="1"/>
  <c r="K47" i="1"/>
  <c r="K25" i="1"/>
  <c r="K48" i="1"/>
  <c r="K41" i="1"/>
  <c r="K49" i="1"/>
  <c r="K39" i="1"/>
  <c r="K34" i="1"/>
  <c r="K24" i="1"/>
  <c r="K16" i="1"/>
  <c r="K42" i="1"/>
  <c r="K9" i="1"/>
  <c r="M9" i="1" s="1"/>
  <c r="K6" i="1"/>
  <c r="K40" i="1"/>
  <c r="K38" i="1"/>
  <c r="K36" i="1"/>
  <c r="K26" i="1"/>
  <c r="K27" i="1"/>
  <c r="K50" i="1"/>
  <c r="K35" i="1"/>
  <c r="K23" i="1"/>
  <c r="K20" i="1"/>
  <c r="M20" i="1" s="1"/>
  <c r="K37" i="1"/>
  <c r="K43" i="1"/>
  <c r="K51" i="1"/>
  <c r="K44" i="1"/>
  <c r="K21" i="1"/>
  <c r="K28" i="1"/>
  <c r="K52" i="1"/>
  <c r="K7" i="1"/>
  <c r="K17" i="1"/>
  <c r="K13" i="1"/>
  <c r="M13" i="1" s="1"/>
  <c r="K53" i="1"/>
  <c r="K54" i="1"/>
  <c r="K14" i="1"/>
  <c r="K15" i="1"/>
  <c r="K12" i="1"/>
  <c r="K55" i="1"/>
  <c r="K56" i="1"/>
  <c r="K45" i="1"/>
  <c r="K18" i="1"/>
  <c r="K29" i="1"/>
  <c r="M29" i="1" s="1"/>
  <c r="K30" i="1"/>
  <c r="K10" i="1"/>
  <c r="K57" i="1"/>
  <c r="K58" i="1"/>
  <c r="K11" i="1"/>
  <c r="K19" i="1"/>
  <c r="K33" i="1"/>
  <c r="K22" i="1"/>
  <c r="K59" i="1"/>
  <c r="K31" i="1"/>
  <c r="M31" i="1" s="1"/>
  <c r="K32" i="1"/>
  <c r="M32" i="1" s="1"/>
  <c r="K60" i="1"/>
  <c r="K61" i="1"/>
  <c r="K5" i="1"/>
  <c r="K46" i="1"/>
  <c r="K62" i="1"/>
  <c r="K63" i="1"/>
  <c r="K8" i="1"/>
  <c r="K64" i="1"/>
  <c r="K2" i="1"/>
  <c r="M2" i="1" s="1"/>
  <c r="K3" i="1"/>
  <c r="M3" i="1" s="1"/>
  <c r="K4" i="1"/>
  <c r="K65" i="1"/>
  <c r="K35" i="2" l="1"/>
  <c r="L35" i="2" s="1"/>
  <c r="N44" i="2" s="1"/>
  <c r="P30" i="2"/>
  <c r="K46" i="2"/>
  <c r="L46" i="2" s="1"/>
  <c r="O30" i="2"/>
  <c r="I16" i="2"/>
  <c r="H16" i="2"/>
  <c r="M2" i="2"/>
  <c r="M1" i="2"/>
  <c r="M13" i="2"/>
  <c r="M4" i="1"/>
  <c r="M60" i="1"/>
  <c r="M62" i="1"/>
  <c r="M52" i="1"/>
  <c r="M28" i="1"/>
  <c r="M27" i="1"/>
  <c r="M34" i="1"/>
  <c r="M47" i="1"/>
  <c r="M7" i="1"/>
  <c r="M64" i="1"/>
  <c r="M59" i="1"/>
  <c r="M17" i="1"/>
  <c r="M23" i="1"/>
  <c r="M8" i="1"/>
  <c r="M22" i="1"/>
  <c r="M45" i="1"/>
  <c r="M35" i="1"/>
  <c r="M55" i="1"/>
  <c r="M18" i="1"/>
  <c r="M42" i="1"/>
  <c r="M5" i="1"/>
  <c r="M58" i="1"/>
  <c r="M15" i="1"/>
  <c r="M44" i="1"/>
  <c r="M36" i="1"/>
  <c r="M49" i="1"/>
  <c r="M65" i="1"/>
  <c r="M61" i="1"/>
  <c r="M57" i="1"/>
  <c r="M14" i="1"/>
  <c r="M51" i="1"/>
  <c r="M38" i="1"/>
  <c r="M41" i="1"/>
  <c r="M24" i="1"/>
  <c r="M33" i="1"/>
  <c r="M10" i="1"/>
  <c r="M54" i="1"/>
  <c r="M40" i="1"/>
  <c r="M53" i="1"/>
  <c r="M6" i="1"/>
  <c r="M25" i="1"/>
  <c r="M12" i="1"/>
  <c r="M39" i="1"/>
  <c r="M16" i="1"/>
  <c r="M63" i="1"/>
  <c r="M56" i="1"/>
  <c r="M43" i="1"/>
  <c r="M48" i="1"/>
  <c r="M30" i="1"/>
  <c r="M37" i="1"/>
  <c r="M46" i="1"/>
  <c r="M21" i="1"/>
  <c r="M26" i="1"/>
  <c r="M19" i="1"/>
  <c r="M11" i="1"/>
  <c r="K54" i="2" l="1"/>
  <c r="M54" i="2" s="1"/>
  <c r="M55" i="2" s="1"/>
  <c r="O44" i="2"/>
  <c r="O47" i="2"/>
  <c r="L32" i="2"/>
  <c r="M32" i="2" s="1"/>
  <c r="M4" i="2"/>
  <c r="I18" i="2"/>
  <c r="K22" i="2"/>
  <c r="M22" i="2" s="1"/>
  <c r="J16" i="2"/>
  <c r="N54" i="2" l="1"/>
  <c r="N55" i="2" s="1"/>
</calcChain>
</file>

<file path=xl/sharedStrings.xml><?xml version="1.0" encoding="utf-8"?>
<sst xmlns="http://schemas.openxmlformats.org/spreadsheetml/2006/main" count="653" uniqueCount="348">
  <si>
    <t>close_date</t>
  </si>
  <si>
    <t>opportunity</t>
  </si>
  <si>
    <t>account</t>
  </si>
  <si>
    <t>service</t>
  </si>
  <si>
    <t>weeks</t>
  </si>
  <si>
    <t>normalized_usd</t>
  </si>
  <si>
    <t>signed_total_usd</t>
  </si>
  <si>
    <t>sf_amount_usd</t>
  </si>
  <si>
    <t>discount_captured</t>
  </si>
  <si>
    <t>verified</t>
  </si>
  <si>
    <t>Ether.fi Enterprise 2026</t>
  </si>
  <si>
    <t>Ether.fi</t>
  </si>
  <si>
    <t>ENT (Audit+FV+Prover)</t>
  </si>
  <si>
    <t>-180000 (33%)</t>
  </si>
  <si>
    <t>yes</t>
  </si>
  <si>
    <t>Light CToken V3 Extension</t>
  </si>
  <si>
    <t>Light Protocol</t>
  </si>
  <si>
    <t>AUD</t>
  </si>
  <si>
    <t>-35000 (line)</t>
  </si>
  <si>
    <t>AAVE v3.6 Audit+FV</t>
  </si>
  <si>
    <t>BGD/Aave</t>
  </si>
  <si>
    <t>AUD+FV (gov payload)</t>
  </si>
  <si>
    <t>none</t>
  </si>
  <si>
    <t>Veda - Boring Vault Yield Streaming</t>
  </si>
  <si>
    <t>Veda</t>
  </si>
  <si>
    <t>CUST (fuzzing)</t>
  </si>
  <si>
    <t>Iota FV</t>
  </si>
  <si>
    <t>Iota</t>
  </si>
  <si>
    <t>FV</t>
  </si>
  <si>
    <t>Fluid - Solana + Solidity</t>
  </si>
  <si>
    <t>Fluid</t>
  </si>
  <si>
    <t>-123000 (25%)</t>
  </si>
  <si>
    <t>APYX Audit</t>
  </si>
  <si>
    <t>APYX</t>
  </si>
  <si>
    <t>-18000 (40%)</t>
  </si>
  <si>
    <t>Calastone CTD V1.1 + CCN</t>
  </si>
  <si>
    <t>Calastone</t>
  </si>
  <si>
    <t>Voltr Audit</t>
  </si>
  <si>
    <t>Voltr</t>
  </si>
  <si>
    <t>-48000 (53%)</t>
  </si>
  <si>
    <t>Lightcone Trade Audit</t>
  </si>
  <si>
    <t>Lightcone</t>
  </si>
  <si>
    <t>-56000 footer (+-80k line)</t>
  </si>
  <si>
    <t>Den Wallet Audit</t>
  </si>
  <si>
    <t>Den</t>
  </si>
  <si>
    <t>-12000 (10%)</t>
  </si>
  <si>
    <t>Saturn M0 - FV + Audit</t>
  </si>
  <si>
    <t>Saturn</t>
  </si>
  <si>
    <t>-12000 (15%)</t>
  </si>
  <si>
    <t>TradePort 2nd Audit</t>
  </si>
  <si>
    <t>TradePort</t>
  </si>
  <si>
    <t>-30000 (33%)</t>
  </si>
  <si>
    <t>Galaxy/Alluvial Audit (Liquid Collective)</t>
  </si>
  <si>
    <t>Alluvial</t>
  </si>
  <si>
    <t>-15000 (SOW rate)</t>
  </si>
  <si>
    <t>Lido - Staking Router DR+Audit, CSM v2/v3</t>
  </si>
  <si>
    <t>Lido</t>
  </si>
  <si>
    <t>AR (design review)</t>
  </si>
  <si>
    <t>-161250 (25%)</t>
  </si>
  <si>
    <t>Catalysis New Audit</t>
  </si>
  <si>
    <t>Catalysis</t>
  </si>
  <si>
    <t>-10500 (35%)</t>
  </si>
  <si>
    <t>Umia / Chainbound Audit</t>
  </si>
  <si>
    <t>Umia</t>
  </si>
  <si>
    <t>-40000 (38%)</t>
  </si>
  <si>
    <t>Reserve FV</t>
  </si>
  <si>
    <t>Reserve</t>
  </si>
  <si>
    <t>-10500 (line)</t>
  </si>
  <si>
    <t>Polymarket DepositWallet Audit</t>
  </si>
  <si>
    <t>Polymarket</t>
  </si>
  <si>
    <t>Credit Coop Audit Retainer</t>
  </si>
  <si>
    <t>Credit Coop</t>
  </si>
  <si>
    <t>CUST (retainer)</t>
  </si>
  <si>
    <t>-27000 (line)</t>
  </si>
  <si>
    <t>Cozy Router contract diff</t>
  </si>
  <si>
    <t>Cozy</t>
  </si>
  <si>
    <t>MezFi FV</t>
  </si>
  <si>
    <t>MezFi</t>
  </si>
  <si>
    <t>-24000 (line)</t>
  </si>
  <si>
    <t>Jito whitelisted instructions Audit</t>
  </si>
  <si>
    <t>Jito</t>
  </si>
  <si>
    <t>-15000 (33%)</t>
  </si>
  <si>
    <t>Kite AI Monitoring/IR SLA</t>
  </si>
  <si>
    <t>Kite AI</t>
  </si>
  <si>
    <t>CUST (SLA)</t>
  </si>
  <si>
    <t>Hadron Fi Audit</t>
  </si>
  <si>
    <t>Hadron</t>
  </si>
  <si>
    <t>-35000 footer (+-50k line)</t>
  </si>
  <si>
    <t>Catalysis reAudit</t>
  </si>
  <si>
    <t>-12000 (line, 40%)</t>
  </si>
  <si>
    <t>Navi VoloVault Audit</t>
  </si>
  <si>
    <t>Navi</t>
  </si>
  <si>
    <t>-26000 (43%)</t>
  </si>
  <si>
    <t>Polymarket Enterprise Mar-2026</t>
  </si>
  <si>
    <t>CUST (engineer wks)</t>
  </si>
  <si>
    <t>-136500 (line)</t>
  </si>
  <si>
    <t>Veda Enterprise Custom</t>
  </si>
  <si>
    <t>CUST</t>
  </si>
  <si>
    <t>-36000 (line)</t>
  </si>
  <si>
    <t>Royco - Audit &amp; FV</t>
  </si>
  <si>
    <t>Royco (Waymont)</t>
  </si>
  <si>
    <t>-10005 footer (+line)</t>
  </si>
  <si>
    <t>Exponent Vault Program Audit</t>
  </si>
  <si>
    <t>Exponent</t>
  </si>
  <si>
    <t>-40000 (44%)</t>
  </si>
  <si>
    <t>Morpho Continuous FV (Q2 retainer)</t>
  </si>
  <si>
    <t>Morpho</t>
  </si>
  <si>
    <t>FV (quarterly)</t>
  </si>
  <si>
    <t>per-Q</t>
  </si>
  <si>
    <t>-52000/qtr (33%)</t>
  </si>
  <si>
    <t>Solana Foundation - Audit+FV+DD pkg</t>
  </si>
  <si>
    <t>Solana</t>
  </si>
  <si>
    <t>AUD+FV+DD (4-mo pkg)</t>
  </si>
  <si>
    <t>~4 mo</t>
  </si>
  <si>
    <t>n/a (SOL delegation)</t>
  </si>
  <si>
    <t>AAVE Audit</t>
  </si>
  <si>
    <t>Aave</t>
  </si>
  <si>
    <t>Atlas Forge Audit</t>
  </si>
  <si>
    <t>Atlas Forge</t>
  </si>
  <si>
    <t>-66000 (line)</t>
  </si>
  <si>
    <t>Light Protocol Token program PR</t>
  </si>
  <si>
    <t>-4000 (33%)</t>
  </si>
  <si>
    <t>Superis Labs Audit</t>
  </si>
  <si>
    <t>Superis (Cumberland)</t>
  </si>
  <si>
    <t>-25000 (33%)</t>
  </si>
  <si>
    <t>Cloak Audit</t>
  </si>
  <si>
    <t>Cloak</t>
  </si>
  <si>
    <t>-40000 (53%)</t>
  </si>
  <si>
    <t>APYX Governance review</t>
  </si>
  <si>
    <t>Sky Frontier (Glenn Kennedy)</t>
  </si>
  <si>
    <t>Sky Frontier</t>
  </si>
  <si>
    <t>AUD (retainer)</t>
  </si>
  <si>
    <t>-50000 (17%)</t>
  </si>
  <si>
    <t>Reyts (SDF/Stellar SOW)</t>
  </si>
  <si>
    <t>Reyts</t>
  </si>
  <si>
    <t>-15000 (SOW)</t>
  </si>
  <si>
    <t>Spectra (SDF/Stellar SOW)</t>
  </si>
  <si>
    <t>Spectra</t>
  </si>
  <si>
    <t>-30000 (SOW)</t>
  </si>
  <si>
    <t>Squads - Audit &amp; FV</t>
  </si>
  <si>
    <t>Squads</t>
  </si>
  <si>
    <t>-50000 (29%)</t>
  </si>
  <si>
    <t>Saturn offchain</t>
  </si>
  <si>
    <t>-10000 (11%)</t>
  </si>
  <si>
    <t>Royco Dusk</t>
  </si>
  <si>
    <t>-38250 (30%)</t>
  </si>
  <si>
    <t>AR</t>
  </si>
  <si>
    <t>Alluvial - Liquid Collective retainer</t>
  </si>
  <si>
    <t>Alluvial (Galaxy)</t>
  </si>
  <si>
    <t>-36000 (SOW rate)</t>
  </si>
  <si>
    <t>Superis Audit Extension</t>
  </si>
  <si>
    <t>-135000 (75%)</t>
  </si>
  <si>
    <t>DFlow Audit</t>
  </si>
  <si>
    <t>DFlow</t>
  </si>
  <si>
    <t>Saturn Offchain audit extension</t>
  </si>
  <si>
    <t>-7000 (23%)</t>
  </si>
  <si>
    <t>Luca Money</t>
  </si>
  <si>
    <t>-15500 + SF 2nd line not in agmt</t>
  </si>
  <si>
    <t>Lightcone Audit Expansion</t>
  </si>
  <si>
    <t>-17000 (line)</t>
  </si>
  <si>
    <t>Exponent Retainer Jun-Sep 2026</t>
  </si>
  <si>
    <t>no agreement on file</t>
  </si>
  <si>
    <t>no</t>
  </si>
  <si>
    <t>DFlow Audit Extension</t>
  </si>
  <si>
    <t>Re Inc - Staking</t>
  </si>
  <si>
    <t>Re Inc</t>
  </si>
  <si>
    <t>Aftermath Audit</t>
  </si>
  <si>
    <t>Aftermath</t>
  </si>
  <si>
    <t>ProtoFire</t>
  </si>
  <si>
    <t>no folder at all</t>
  </si>
  <si>
    <t>price/week</t>
  </si>
  <si>
    <t>hc</t>
  </si>
  <si>
    <t>price/head</t>
  </si>
  <si>
    <t>Thomas Marques (Beirao)</t>
  </si>
  <si>
    <t>Anastasia Fedotov</t>
  </si>
  <si>
    <t>Oz Marom</t>
  </si>
  <si>
    <t>Ondrej Kurak</t>
  </si>
  <si>
    <t>Itay Hadad</t>
  </si>
  <si>
    <t>Shahak Levi</t>
  </si>
  <si>
    <t>Tomer Ganor</t>
  </si>
  <si>
    <t>Tigran Piliposyan</t>
  </si>
  <si>
    <t>Ofek Ray Orlev</t>
  </si>
  <si>
    <t>Dylan Pokun (Dravee)</t>
  </si>
  <si>
    <t>Elad Shyahe</t>
  </si>
  <si>
    <t>Pamina Georgiev</t>
  </si>
  <si>
    <t>Yoav Elmalem</t>
  </si>
  <si>
    <t>Shirly Aines Levy</t>
  </si>
  <si>
    <t>Ofir Cohen</t>
  </si>
  <si>
    <t>Inbar Landesman</t>
  </si>
  <si>
    <t>Gereon Kremer</t>
  </si>
  <si>
    <t>Sean David Seefried</t>
  </si>
  <si>
    <t>Nissan Levi</t>
  </si>
  <si>
    <t>Otakar Trunda</t>
  </si>
  <si>
    <t>Jochen Hoenicke</t>
  </si>
  <si>
    <t>Nurit Dor</t>
  </si>
  <si>
    <t>Nisarg Patel</t>
  </si>
  <si>
    <t>Antti Hyvarinen</t>
  </si>
  <si>
    <t>Lilian Cariou</t>
  </si>
  <si>
    <t>Emanuele Civini</t>
  </si>
  <si>
    <t>Kevin Lotz</t>
  </si>
  <si>
    <t>Lucas Sakizloglou</t>
  </si>
  <si>
    <t>Santiago Pujol Saumell</t>
  </si>
  <si>
    <t>Javier Torres Paz (Neumo)</t>
  </si>
  <si>
    <t>Valentin Atanasov Valkanov</t>
  </si>
  <si>
    <t>Dat Bui Tien(David)</t>
  </si>
  <si>
    <t>Parker Stevens</t>
  </si>
  <si>
    <t>Raj Kumar</t>
  </si>
  <si>
    <t>Saksham Seth</t>
  </si>
  <si>
    <t>Eviatar Butin</t>
  </si>
  <si>
    <t>Dor Dalal</t>
  </si>
  <si>
    <t>Theodoros Zarkalis</t>
  </si>
  <si>
    <t>Petar Zlatkov Arabadzhiev</t>
  </si>
  <si>
    <t>Toni Bogomilev Denev</t>
  </si>
  <si>
    <t>Fellipe Ribeiro Fernandes Mendes (Phil)</t>
  </si>
  <si>
    <t>Andrej Andonov</t>
  </si>
  <si>
    <t>Nikola Anatoliev Ilchovski</t>
  </si>
  <si>
    <t>Parth Shah (Nemveer)</t>
  </si>
  <si>
    <t>Plamen Tsanev</t>
  </si>
  <si>
    <t>Martin Georgiev (aka. Novaman33)</t>
  </si>
  <si>
    <t>Nikolay Petkov (armormadeofwoe)</t>
  </si>
  <si>
    <t>Kristiyan Aleksandrov Milkov (zanderbyte)</t>
  </si>
  <si>
    <t>Rohankumar Gosar(Norah)</t>
  </si>
  <si>
    <t>Bogomil Tsvetkov</t>
  </si>
  <si>
    <t>Lyuboslav Rosenov Veliev (0xlemon)</t>
  </si>
  <si>
    <t>Krasimir Doychinov (deth)</t>
  </si>
  <si>
    <t>Nikola Mirchev</t>
  </si>
  <si>
    <t>Jelle Goethals (OxFlint)</t>
  </si>
  <si>
    <t>Rahiti Petit (Greed)</t>
  </si>
  <si>
    <t>Martin Marchev</t>
  </si>
  <si>
    <t>Ofek Raizman Kedar</t>
  </si>
  <si>
    <t>Alex Van Der Lelie</t>
  </si>
  <si>
    <t>Ezra Steinmetz (0xA5DF)</t>
  </si>
  <si>
    <t>Netanel Rubin- Blaier</t>
  </si>
  <si>
    <t>Michael Morami</t>
  </si>
  <si>
    <t>weekly price</t>
  </si>
  <si>
    <t>new s</t>
  </si>
  <si>
    <t>s</t>
  </si>
  <si>
    <t>name</t>
  </si>
  <si>
    <t>dep</t>
  </si>
  <si>
    <t>DELIVERY</t>
  </si>
  <si>
    <t>Shmuel (Mooly) Sagiv</t>
  </si>
  <si>
    <t>Andrew Flesch</t>
  </si>
  <si>
    <t>Eduardo Antonio Cannizzo</t>
  </si>
  <si>
    <t>Julieta Corito</t>
  </si>
  <si>
    <t>Eleonora Bellotto</t>
  </si>
  <si>
    <t>Sofi Vissani</t>
  </si>
  <si>
    <t>Seth Hallem</t>
  </si>
  <si>
    <t>Ilya Leybovich</t>
  </si>
  <si>
    <t>Shane Runquist</t>
  </si>
  <si>
    <t>Fiorella Scantamburlo</t>
  </si>
  <si>
    <t>Jonathan (Joni) Raviv</t>
  </si>
  <si>
    <t>Elena Kabas</t>
  </si>
  <si>
    <t>Noam Geffen</t>
  </si>
  <si>
    <t>Jessica Stivelman-Bonwitt</t>
  </si>
  <si>
    <t>Idit Kronzon</t>
  </si>
  <si>
    <t>Amit Sassi</t>
  </si>
  <si>
    <t>Moran Hakak</t>
  </si>
  <si>
    <t>GENERAL</t>
  </si>
  <si>
    <t>Yura Sherman</t>
  </si>
  <si>
    <t>Giuseppe Cocomazzi</t>
  </si>
  <si>
    <t>Lior Oppenheim</t>
  </si>
  <si>
    <t>John Toman</t>
  </si>
  <si>
    <t>Julian Timothy Dolby</t>
  </si>
  <si>
    <t>Christiane Goltz</t>
  </si>
  <si>
    <t>Johannes Späth</t>
  </si>
  <si>
    <t>Martin Hruska</t>
  </si>
  <si>
    <t>Arie Gurfinkel</t>
  </si>
  <si>
    <t>Eric Eilebrecht</t>
  </si>
  <si>
    <t>Naftali Goldstein</t>
  </si>
  <si>
    <t>Jaroslav Bendik</t>
  </si>
  <si>
    <t>Chandrakana Nandi</t>
  </si>
  <si>
    <t>Jorge Navas</t>
  </si>
  <si>
    <t>Yoav Rodeh</t>
  </si>
  <si>
    <t>Shelly Grossman</t>
  </si>
  <si>
    <t>RND</t>
  </si>
  <si>
    <t>Hristo Grigorov</t>
  </si>
  <si>
    <t xml:space="preserve">Armen Ter-Avetisyan </t>
  </si>
  <si>
    <t>Gad Elbaz</t>
  </si>
  <si>
    <t>Jordan Jeffery Solomon</t>
  </si>
  <si>
    <t>Paolo Diomede</t>
  </si>
  <si>
    <t>Maya Glik</t>
  </si>
  <si>
    <t>TOTAL COST DELIVERY / WEEK</t>
  </si>
  <si>
    <t>TOTAL COST GENERAL / WEEK</t>
  </si>
  <si>
    <t>TOTAL COST EXCL RND / WEEK</t>
  </si>
  <si>
    <t>TOTAL DELIVERABLES 2026</t>
  </si>
  <si>
    <t>TOTAL COST RND / WEEK</t>
  </si>
  <si>
    <t>Elad Erdheim</t>
  </si>
  <si>
    <t>Amit Pinhasi</t>
  </si>
  <si>
    <t>Jacob web2</t>
  </si>
  <si>
    <t>YEARLY DELIVERY OLD</t>
  </si>
  <si>
    <t>YEARLY DELIVERY NEW</t>
  </si>
  <si>
    <t>YEARLY RND OLD</t>
  </si>
  <si>
    <t>YEARLY RND NEW</t>
  </si>
  <si>
    <t>YEARLY GA OLD</t>
  </si>
  <si>
    <t>YEARLY GA NEW</t>
  </si>
  <si>
    <t>TOTAL</t>
  </si>
  <si>
    <t>SAVE</t>
  </si>
  <si>
    <t>NEW MONTHLY</t>
  </si>
  <si>
    <t>ORIG BUDGET</t>
  </si>
  <si>
    <t>PAYROLL</t>
  </si>
  <si>
    <t>EXTRA</t>
  </si>
  <si>
    <t>Trump law</t>
  </si>
  <si>
    <t>Mudit</t>
  </si>
  <si>
    <t>Exposures</t>
  </si>
  <si>
    <t>Compliance</t>
  </si>
  <si>
    <t>External security</t>
  </si>
  <si>
    <t>Arie offsetting</t>
  </si>
  <si>
    <t>Travel SR</t>
  </si>
  <si>
    <t>Serotonin</t>
  </si>
  <si>
    <t>Employment new jurisdications</t>
  </si>
  <si>
    <t>EXTRA REDUCTIONS</t>
  </si>
  <si>
    <t>NEW BUDGET</t>
  </si>
  <si>
    <t>MONTHLY</t>
  </si>
  <si>
    <t>cibus</t>
  </si>
  <si>
    <t>INCOME POTENTIAL</t>
  </si>
  <si>
    <t>SRs</t>
  </si>
  <si>
    <t>FVs</t>
  </si>
  <si>
    <t>type</t>
  </si>
  <si>
    <t>SR</t>
  </si>
  <si>
    <t>$/week</t>
  </si>
  <si>
    <t>total $ / week</t>
  </si>
  <si>
    <t>total $ / month</t>
  </si>
  <si>
    <t>Mitigation review 20%</t>
  </si>
  <si>
    <t>alt: 12.5k/10k</t>
  </si>
  <si>
    <t>SL BUDGET ONLY</t>
  </si>
  <si>
    <t>EXTRA weighted</t>
  </si>
  <si>
    <t>AVG SR/FV ONLY</t>
  </si>
  <si>
    <t>AVG SR/FV ONLY / WEEK</t>
  </si>
  <si>
    <t>AVG NON-ENG COS ONLY</t>
  </si>
  <si>
    <t>AVG GA ONLY</t>
  </si>
  <si>
    <t>SUM SR/FV ONLY</t>
  </si>
  <si>
    <t>SUM NON-SR/FV/RND</t>
  </si>
  <si>
    <t>REVENUE ENG WEEK</t>
  </si>
  <si>
    <t>PRICE PER ENG WEEK</t>
  </si>
  <si>
    <t>TO COVER NON-ENG</t>
  </si>
  <si>
    <t>TO COVER EVERYTHING</t>
  </si>
  <si>
    <t>ALT 12K (Mitigation review)</t>
  </si>
  <si>
    <t>30% Margin rule</t>
  </si>
  <si>
    <t>COS weekly (SR/FV/NON-ENG COS)</t>
  </si>
  <si>
    <t>30% margin</t>
  </si>
  <si>
    <t>Enterprise bundle &gt; 20w</t>
  </si>
  <si>
    <t>Enterprise list price (definition: &gt;100M TVL)</t>
  </si>
  <si>
    <t>One-off, new protocols</t>
  </si>
  <si>
    <t>40% margin</t>
  </si>
  <si>
    <t>add 20% mitigation review</t>
  </si>
  <si>
    <t>Rushed audit</t>
  </si>
  <si>
    <t>extra 20%</t>
  </si>
  <si>
    <t>BREAK EVEN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</si>
</sst>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₪&quot;#,##0.00"/>
  </numFmts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u/>
      <sz val="12"/>
      <color theme="1"/>
      <name val="Aptos Narrow"/>
      <scheme val="minor"/>
    </font>
    <font>
      <u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9"/>
      </left>
      <right/>
      <top style="medium">
        <color theme="9"/>
      </top>
      <bottom/>
      <diagonal/>
    </border>
    <border>
      <left/>
      <right style="medium">
        <color theme="9"/>
      </right>
      <top style="medium">
        <color theme="9"/>
      </top>
      <bottom/>
      <diagonal/>
    </border>
    <border>
      <left style="medium">
        <color theme="9"/>
      </left>
      <right/>
      <top/>
      <bottom/>
      <diagonal/>
    </border>
    <border>
      <left/>
      <right style="medium">
        <color theme="9"/>
      </right>
      <top/>
      <bottom/>
      <diagonal/>
    </border>
    <border>
      <left style="medium">
        <color theme="9"/>
      </left>
      <right/>
      <top/>
      <bottom style="medium">
        <color theme="9"/>
      </bottom>
      <diagonal/>
    </border>
    <border>
      <left/>
      <right style="medium">
        <color theme="9"/>
      </right>
      <top/>
      <bottom style="medium">
        <color theme="9"/>
      </bottom>
      <diagonal/>
    </border>
    <border>
      <left style="medium">
        <color theme="9"/>
      </left>
      <right/>
      <top style="medium">
        <color theme="9"/>
      </top>
      <bottom style="medium">
        <color theme="9"/>
      </bottom>
      <diagonal/>
    </border>
    <border>
      <left/>
      <right style="medium">
        <color theme="9"/>
      </right>
      <top style="medium">
        <color theme="9"/>
      </top>
      <bottom style="medium">
        <color theme="9"/>
      </bottom>
      <diagonal/>
    </border>
    <border>
      <left/>
      <right/>
      <top style="medium">
        <color theme="9"/>
      </top>
      <bottom/>
      <diagonal/>
    </border>
    <border>
      <left/>
      <right/>
      <top/>
      <bottom style="medium">
        <color theme="9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14" fontId="0" fillId="0" borderId="0" xfId="0" applyNumberFormat="1"/>
    <xf numFmtId="0" fontId="18" fillId="0" borderId="0" xfId="0" applyFont="1"/>
    <xf numFmtId="2" fontId="0" fillId="0" borderId="0" xfId="0" applyNumberFormat="1"/>
    <xf numFmtId="164" fontId="0" fillId="0" borderId="0" xfId="0" applyNumberFormat="1"/>
    <xf numFmtId="4" fontId="18" fillId="0" borderId="0" xfId="0" applyNumberFormat="1" applyFont="1"/>
    <xf numFmtId="3" fontId="18" fillId="0" borderId="0" xfId="0" applyNumberFormat="1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43" fontId="0" fillId="0" borderId="0" xfId="1" applyFont="1"/>
    <xf numFmtId="43" fontId="0" fillId="0" borderId="0" xfId="0" applyNumberFormat="1"/>
    <xf numFmtId="0" fontId="0" fillId="0" borderId="18" xfId="0" applyBorder="1"/>
    <xf numFmtId="0" fontId="19" fillId="0" borderId="0" xfId="0" applyFont="1"/>
    <xf numFmtId="43" fontId="0" fillId="0" borderId="12" xfId="0" applyNumberFormat="1" applyBorder="1"/>
    <xf numFmtId="43" fontId="19" fillId="0" borderId="0" xfId="0" applyNumberFormat="1" applyFont="1"/>
    <xf numFmtId="0" fontId="22" fillId="0" borderId="0" xfId="0" applyFont="1"/>
    <xf numFmtId="43" fontId="0" fillId="0" borderId="0" xfId="1" applyFont="1" applyBorder="1"/>
    <xf numFmtId="43" fontId="0" fillId="0" borderId="12" xfId="1" applyFont="1" applyBorder="1"/>
    <xf numFmtId="0" fontId="21" fillId="0" borderId="0" xfId="0" applyFont="1"/>
    <xf numFmtId="0" fontId="20" fillId="0" borderId="0" xfId="0" applyFont="1"/>
    <xf numFmtId="0" fontId="0" fillId="0" borderId="19" xfId="0" applyBorder="1"/>
    <xf numFmtId="9" fontId="0" fillId="0" borderId="0" xfId="0" applyNumberFormat="1"/>
    <xf numFmtId="0" fontId="18" fillId="0" borderId="0" xfId="0" applyFont="1" applyAlignment="1">
      <alignment horizontal="left" vertical="center" wrapText="1"/>
    </xf>
    <xf numFmtId="0" fontId="11" fillId="6" borderId="4" xfId="12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8"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EB18D5-A487-8A45-A856-611AC420AFA6}" name="Table1" displayName="Table1" ref="A1:M65" totalsRowShown="0">
  <autoFilter ref="A1:M65" xr:uid="{35EB18D5-A487-8A45-A856-611AC420AFA6}"/>
  <sortState xmlns:xlrd2="http://schemas.microsoft.com/office/spreadsheetml/2017/richdata2" ref="A2:M65">
    <sortCondition ref="M1:M65"/>
  </sortState>
  <tableColumns count="13">
    <tableColumn id="1" xr3:uid="{AF916E54-8296-804A-AA0B-3A36CA629312}" name="close_date" dataDxfId="7"/>
    <tableColumn id="2" xr3:uid="{EEC167AF-9994-2543-8D3E-4D9556AF03DB}" name="opportunity"/>
    <tableColumn id="3" xr3:uid="{C8910C3F-5A08-5A4F-8656-74256D2DDDEE}" name="account"/>
    <tableColumn id="4" xr3:uid="{A4830DBE-4D0C-BF40-A31F-1A0044886822}" name="service"/>
    <tableColumn id="5" xr3:uid="{01C76E92-71F9-B342-8E2C-EFD7D63ACA33}" name="weeks"/>
    <tableColumn id="6" xr3:uid="{D31BE9B9-491A-CD4A-B2E7-14C2E9E95D73}" name="normalized_usd"/>
    <tableColumn id="7" xr3:uid="{0C716782-5A84-6D4C-9755-03528A72DBC7}" name="signed_total_usd"/>
    <tableColumn id="8" xr3:uid="{1ACBDFF7-A323-1C4F-A793-2253D79B433E}" name="sf_amount_usd"/>
    <tableColumn id="9" xr3:uid="{9C02E302-4D9C-D048-81CE-FFA241693568}" name="discount_captured"/>
    <tableColumn id="10" xr3:uid="{7565A89E-9243-AD41-9F77-43374E5FF03A}" name="verified"/>
    <tableColumn id="11" xr3:uid="{4B52CB4D-A47F-7846-AB27-03C8D9CC182B}" name="price/week" dataDxfId="6">
      <calculatedColumnFormula>$F2/$E2</calculatedColumnFormula>
    </tableColumn>
    <tableColumn id="12" xr3:uid="{D65D227E-33E2-554F-A65F-D2ABCD8E158A}" name="hc" dataDxfId="5">
      <calculatedColumnFormula>IF($D2="AUD",2,IF($D2="FV",1.5,0))</calculatedColumnFormula>
    </tableColumn>
    <tableColumn id="13" xr3:uid="{3975E463-0D7F-E345-9451-8F777D9644D0}" name="price/head" dataDxfId="4">
      <calculatedColumnFormula>$K2/$L2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41812E-42AD-FE42-B11D-8A3199EB6ADB}" name="Table2" displayName="Table2" ref="A1:F104" totalsRowShown="0">
  <autoFilter ref="A1:F104" xr:uid="{4141812E-42AD-FE42-B11D-8A3199EB6ADB}"/>
  <sortState xmlns:xlrd2="http://schemas.microsoft.com/office/spreadsheetml/2017/richdata2" ref="A2:F104">
    <sortCondition ref="D1:D104"/>
  </sortState>
  <tableColumns count="6">
    <tableColumn id="1" xr3:uid="{2AEADA76-BB93-B247-99FD-F00EED5CD5F5}" name="name" dataDxfId="3"/>
    <tableColumn id="2" xr3:uid="{2C76AD10-DF95-A540-A945-9DDE76F6B4EF}" name="s" dataDxfId="2"/>
    <tableColumn id="3" xr3:uid="{911331F0-A9CC-9445-B1CB-44F5E53C8DEC}" name="new s" dataDxfId="1"/>
    <tableColumn id="4" xr3:uid="{6708FD00-645C-F240-84EA-99E25A374DB5}" name="weekly price" dataDxfId="0">
      <calculatedColumnFormula>C2/48</calculatedColumnFormula>
    </tableColumn>
    <tableColumn id="5" xr3:uid="{3BC7A229-8305-8F41-85F6-5D7747A3DF4E}" name="dep"/>
    <tableColumn id="6" xr3:uid="{C8EBA728-F3A0-884C-AB5B-9C436B055FF9}" name="type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0A97C-396A-634E-B934-0BF3C588197A}">
  <dimension ref="A1:M65"/>
  <sheetViews>
    <sheetView topLeftCell="B7" zoomScale="120" zoomScaleNormal="120" workbookViewId="0">
      <selection activeCell="M25" sqref="M25"/>
    </sheetView>
  </sheetViews>
  <sheetFormatPr baseColWidth="10" defaultRowHeight="16" x14ac:dyDescent="0.2"/>
  <cols>
    <col min="1" max="1" width="12.33203125" customWidth="1"/>
    <col min="2" max="2" width="35.5" bestFit="1" customWidth="1"/>
    <col min="3" max="3" width="19" bestFit="1" customWidth="1"/>
    <col min="4" max="4" width="20.33203125" bestFit="1" customWidth="1"/>
    <col min="6" max="6" width="16.1640625" customWidth="1"/>
    <col min="7" max="7" width="17" customWidth="1"/>
    <col min="8" max="8" width="15.5" customWidth="1"/>
    <col min="9" max="9" width="18.6640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170</v>
      </c>
      <c r="L1" t="s">
        <v>171</v>
      </c>
      <c r="M1" t="s">
        <v>172</v>
      </c>
    </row>
    <row r="2" spans="1:13" x14ac:dyDescent="0.2">
      <c r="A2" s="1">
        <v>46177</v>
      </c>
      <c r="B2" t="s">
        <v>163</v>
      </c>
      <c r="C2" t="s">
        <v>153</v>
      </c>
      <c r="D2" t="s">
        <v>17</v>
      </c>
      <c r="E2">
        <v>1</v>
      </c>
      <c r="H2">
        <v>30000</v>
      </c>
      <c r="I2" t="s">
        <v>161</v>
      </c>
      <c r="J2" t="s">
        <v>162</v>
      </c>
      <c r="K2">
        <f t="shared" ref="K2:K33" si="0">$F2/$E2</f>
        <v>0</v>
      </c>
      <c r="L2">
        <f t="shared" ref="L2:L46" si="1">IF($D2="AUD",2,IF($D2="FV",1.5,0))</f>
        <v>2</v>
      </c>
      <c r="M2">
        <f t="shared" ref="M2:M33" si="2">$K2/$L2</f>
        <v>0</v>
      </c>
    </row>
    <row r="3" spans="1:13" x14ac:dyDescent="0.2">
      <c r="A3" s="1">
        <v>46177</v>
      </c>
      <c r="B3" t="s">
        <v>164</v>
      </c>
      <c r="C3" t="s">
        <v>165</v>
      </c>
      <c r="D3" t="s">
        <v>17</v>
      </c>
      <c r="E3">
        <v>0.8</v>
      </c>
      <c r="H3">
        <v>24000</v>
      </c>
      <c r="I3" t="s">
        <v>161</v>
      </c>
      <c r="J3" t="s">
        <v>162</v>
      </c>
      <c r="K3">
        <f t="shared" si="0"/>
        <v>0</v>
      </c>
      <c r="L3">
        <f t="shared" si="1"/>
        <v>2</v>
      </c>
      <c r="M3">
        <f t="shared" si="2"/>
        <v>0</v>
      </c>
    </row>
    <row r="4" spans="1:13" x14ac:dyDescent="0.2">
      <c r="A4" s="1">
        <v>46178</v>
      </c>
      <c r="B4" t="s">
        <v>166</v>
      </c>
      <c r="C4" t="s">
        <v>167</v>
      </c>
      <c r="D4" t="s">
        <v>17</v>
      </c>
      <c r="E4">
        <v>10</v>
      </c>
      <c r="H4">
        <v>300000</v>
      </c>
      <c r="I4" t="s">
        <v>161</v>
      </c>
      <c r="J4" t="s">
        <v>162</v>
      </c>
      <c r="K4">
        <f t="shared" si="0"/>
        <v>0</v>
      </c>
      <c r="L4">
        <f t="shared" si="1"/>
        <v>2</v>
      </c>
      <c r="M4">
        <f t="shared" si="2"/>
        <v>0</v>
      </c>
    </row>
    <row r="5" spans="1:13" x14ac:dyDescent="0.2">
      <c r="A5" s="1">
        <v>46168</v>
      </c>
      <c r="B5" t="s">
        <v>150</v>
      </c>
      <c r="C5" t="s">
        <v>123</v>
      </c>
      <c r="D5" t="s">
        <v>17</v>
      </c>
      <c r="E5">
        <v>6</v>
      </c>
      <c r="F5">
        <v>45000</v>
      </c>
      <c r="G5">
        <v>45000</v>
      </c>
      <c r="H5">
        <v>180000</v>
      </c>
      <c r="I5" t="s">
        <v>151</v>
      </c>
      <c r="J5" t="s">
        <v>14</v>
      </c>
      <c r="K5">
        <f t="shared" si="0"/>
        <v>7500</v>
      </c>
      <c r="L5">
        <f t="shared" si="1"/>
        <v>2</v>
      </c>
      <c r="M5">
        <f t="shared" si="2"/>
        <v>3750</v>
      </c>
    </row>
    <row r="6" spans="1:13" x14ac:dyDescent="0.2">
      <c r="A6" s="1">
        <v>46056</v>
      </c>
      <c r="B6" t="s">
        <v>40</v>
      </c>
      <c r="C6" t="s">
        <v>41</v>
      </c>
      <c r="D6" t="s">
        <v>17</v>
      </c>
      <c r="E6">
        <v>8</v>
      </c>
      <c r="F6">
        <v>104000</v>
      </c>
      <c r="G6">
        <v>104000</v>
      </c>
      <c r="H6">
        <v>160000</v>
      </c>
      <c r="I6" t="s">
        <v>42</v>
      </c>
      <c r="J6" t="s">
        <v>14</v>
      </c>
      <c r="K6">
        <f t="shared" si="0"/>
        <v>13000</v>
      </c>
      <c r="L6">
        <f t="shared" si="1"/>
        <v>2</v>
      </c>
      <c r="M6">
        <f t="shared" si="2"/>
        <v>6500</v>
      </c>
    </row>
    <row r="7" spans="1:13" x14ac:dyDescent="0.2">
      <c r="A7" s="1">
        <v>46098</v>
      </c>
      <c r="B7" t="s">
        <v>85</v>
      </c>
      <c r="C7" t="s">
        <v>86</v>
      </c>
      <c r="D7" t="s">
        <v>17</v>
      </c>
      <c r="E7">
        <v>5</v>
      </c>
      <c r="F7">
        <v>65000</v>
      </c>
      <c r="G7">
        <v>65000</v>
      </c>
      <c r="H7">
        <v>100000</v>
      </c>
      <c r="I7" t="s">
        <v>87</v>
      </c>
      <c r="J7" t="s">
        <v>14</v>
      </c>
      <c r="K7">
        <f t="shared" si="0"/>
        <v>13000</v>
      </c>
      <c r="L7">
        <f t="shared" si="1"/>
        <v>2</v>
      </c>
      <c r="M7">
        <f t="shared" si="2"/>
        <v>6500</v>
      </c>
    </row>
    <row r="8" spans="1:13" x14ac:dyDescent="0.2">
      <c r="A8" s="1">
        <v>46157</v>
      </c>
      <c r="B8" t="s">
        <v>158</v>
      </c>
      <c r="C8" t="s">
        <v>41</v>
      </c>
      <c r="D8" t="s">
        <v>17</v>
      </c>
      <c r="E8">
        <v>1</v>
      </c>
      <c r="F8">
        <v>13000</v>
      </c>
      <c r="G8">
        <v>13000</v>
      </c>
      <c r="I8" t="s">
        <v>159</v>
      </c>
      <c r="J8" t="s">
        <v>14</v>
      </c>
      <c r="K8">
        <f t="shared" si="0"/>
        <v>13000</v>
      </c>
      <c r="L8">
        <f t="shared" si="1"/>
        <v>2</v>
      </c>
      <c r="M8">
        <f t="shared" si="2"/>
        <v>6500</v>
      </c>
    </row>
    <row r="9" spans="1:13" x14ac:dyDescent="0.2">
      <c r="A9" s="1">
        <v>46050</v>
      </c>
      <c r="B9" t="s">
        <v>37</v>
      </c>
      <c r="C9" t="s">
        <v>38</v>
      </c>
      <c r="D9" t="s">
        <v>17</v>
      </c>
      <c r="E9">
        <v>3</v>
      </c>
      <c r="F9">
        <v>42000</v>
      </c>
      <c r="G9">
        <v>42000</v>
      </c>
      <c r="H9">
        <v>90000</v>
      </c>
      <c r="I9" t="s">
        <v>39</v>
      </c>
      <c r="J9" t="s">
        <v>14</v>
      </c>
      <c r="K9">
        <f t="shared" si="0"/>
        <v>14000</v>
      </c>
      <c r="L9">
        <f t="shared" si="1"/>
        <v>2</v>
      </c>
      <c r="M9">
        <f t="shared" si="2"/>
        <v>7000</v>
      </c>
    </row>
    <row r="10" spans="1:13" x14ac:dyDescent="0.2">
      <c r="A10" s="1">
        <v>46127</v>
      </c>
      <c r="B10" t="s">
        <v>125</v>
      </c>
      <c r="C10" t="s">
        <v>126</v>
      </c>
      <c r="D10" t="s">
        <v>17</v>
      </c>
      <c r="E10">
        <v>2.5</v>
      </c>
      <c r="F10">
        <v>35000</v>
      </c>
      <c r="G10">
        <v>35000</v>
      </c>
      <c r="H10">
        <v>75000</v>
      </c>
      <c r="I10" t="s">
        <v>127</v>
      </c>
      <c r="J10" t="s">
        <v>14</v>
      </c>
      <c r="K10">
        <f t="shared" si="0"/>
        <v>14000</v>
      </c>
      <c r="L10">
        <f t="shared" si="1"/>
        <v>2</v>
      </c>
      <c r="M10">
        <f t="shared" si="2"/>
        <v>7000</v>
      </c>
    </row>
    <row r="11" spans="1:13" x14ac:dyDescent="0.2">
      <c r="A11" s="1">
        <v>46142</v>
      </c>
      <c r="B11" t="s">
        <v>133</v>
      </c>
      <c r="C11" t="s">
        <v>134</v>
      </c>
      <c r="D11" t="s">
        <v>17</v>
      </c>
      <c r="E11">
        <v>2</v>
      </c>
      <c r="F11">
        <v>30000</v>
      </c>
      <c r="G11">
        <v>30000</v>
      </c>
      <c r="H11">
        <v>45000</v>
      </c>
      <c r="I11" t="s">
        <v>135</v>
      </c>
      <c r="J11" t="s">
        <v>14</v>
      </c>
      <c r="K11">
        <f t="shared" si="0"/>
        <v>15000</v>
      </c>
      <c r="L11">
        <f t="shared" si="1"/>
        <v>2</v>
      </c>
      <c r="M11">
        <f t="shared" si="2"/>
        <v>7500</v>
      </c>
    </row>
    <row r="12" spans="1:13" x14ac:dyDescent="0.2">
      <c r="A12" s="1">
        <v>46112</v>
      </c>
      <c r="B12" t="s">
        <v>102</v>
      </c>
      <c r="C12" t="s">
        <v>103</v>
      </c>
      <c r="D12" t="s">
        <v>17</v>
      </c>
      <c r="E12">
        <v>3</v>
      </c>
      <c r="F12">
        <v>50000</v>
      </c>
      <c r="G12">
        <v>50000</v>
      </c>
      <c r="H12">
        <v>90000</v>
      </c>
      <c r="I12" t="s">
        <v>104</v>
      </c>
      <c r="J12" t="s">
        <v>14</v>
      </c>
      <c r="K12">
        <f t="shared" si="0"/>
        <v>16666.666666666668</v>
      </c>
      <c r="L12">
        <f t="shared" si="1"/>
        <v>2</v>
      </c>
      <c r="M12">
        <f t="shared" si="2"/>
        <v>8333.3333333333339</v>
      </c>
    </row>
    <row r="13" spans="1:13" x14ac:dyDescent="0.2">
      <c r="A13" s="1">
        <v>46100</v>
      </c>
      <c r="B13" t="s">
        <v>90</v>
      </c>
      <c r="C13" t="s">
        <v>91</v>
      </c>
      <c r="D13" t="s">
        <v>17</v>
      </c>
      <c r="E13">
        <v>2</v>
      </c>
      <c r="F13">
        <v>34000</v>
      </c>
      <c r="G13">
        <v>34000</v>
      </c>
      <c r="H13">
        <v>60000</v>
      </c>
      <c r="I13" t="s">
        <v>92</v>
      </c>
      <c r="J13" t="s">
        <v>14</v>
      </c>
      <c r="K13">
        <f t="shared" si="0"/>
        <v>17000</v>
      </c>
      <c r="L13">
        <f t="shared" si="1"/>
        <v>2</v>
      </c>
      <c r="M13">
        <f t="shared" si="2"/>
        <v>8500</v>
      </c>
    </row>
    <row r="14" spans="1:13" x14ac:dyDescent="0.2">
      <c r="A14" s="1">
        <v>46111</v>
      </c>
      <c r="B14" t="s">
        <v>99</v>
      </c>
      <c r="C14" t="s">
        <v>100</v>
      </c>
      <c r="D14" t="s">
        <v>28</v>
      </c>
      <c r="E14">
        <v>3.5</v>
      </c>
      <c r="F14">
        <v>46073</v>
      </c>
      <c r="G14">
        <v>90000</v>
      </c>
      <c r="H14">
        <v>100005</v>
      </c>
      <c r="I14" t="s">
        <v>101</v>
      </c>
      <c r="J14" t="s">
        <v>14</v>
      </c>
      <c r="K14">
        <f t="shared" si="0"/>
        <v>13163.714285714286</v>
      </c>
      <c r="L14">
        <f t="shared" si="1"/>
        <v>1.5</v>
      </c>
      <c r="M14">
        <f t="shared" si="2"/>
        <v>8775.8095238095248</v>
      </c>
    </row>
    <row r="15" spans="1:13" x14ac:dyDescent="0.2">
      <c r="A15" s="1">
        <v>46111</v>
      </c>
      <c r="B15" t="s">
        <v>99</v>
      </c>
      <c r="C15" t="s">
        <v>100</v>
      </c>
      <c r="D15" t="s">
        <v>17</v>
      </c>
      <c r="E15">
        <v>2.5</v>
      </c>
      <c r="F15">
        <v>43927</v>
      </c>
      <c r="G15">
        <v>90000</v>
      </c>
      <c r="H15">
        <v>100005</v>
      </c>
      <c r="I15" t="s">
        <v>101</v>
      </c>
      <c r="J15" t="s">
        <v>14</v>
      </c>
      <c r="K15">
        <f t="shared" si="0"/>
        <v>17570.8</v>
      </c>
      <c r="L15">
        <f t="shared" si="1"/>
        <v>2</v>
      </c>
      <c r="M15">
        <f t="shared" si="2"/>
        <v>8785.4</v>
      </c>
    </row>
    <row r="16" spans="1:13" x14ac:dyDescent="0.2">
      <c r="A16" s="1">
        <v>46041</v>
      </c>
      <c r="B16" t="s">
        <v>32</v>
      </c>
      <c r="C16" t="s">
        <v>33</v>
      </c>
      <c r="D16" t="s">
        <v>17</v>
      </c>
      <c r="E16">
        <v>1.5</v>
      </c>
      <c r="F16">
        <v>27000</v>
      </c>
      <c r="G16">
        <v>27000</v>
      </c>
      <c r="H16">
        <v>45000</v>
      </c>
      <c r="I16" t="s">
        <v>34</v>
      </c>
      <c r="J16" t="s">
        <v>14</v>
      </c>
      <c r="K16">
        <f t="shared" si="0"/>
        <v>18000</v>
      </c>
      <c r="L16">
        <f t="shared" si="1"/>
        <v>2</v>
      </c>
      <c r="M16">
        <f t="shared" si="2"/>
        <v>9000</v>
      </c>
    </row>
    <row r="17" spans="1:13" x14ac:dyDescent="0.2">
      <c r="A17" s="1">
        <v>46099</v>
      </c>
      <c r="B17" t="s">
        <v>88</v>
      </c>
      <c r="C17" t="s">
        <v>60</v>
      </c>
      <c r="D17" t="s">
        <v>17</v>
      </c>
      <c r="E17">
        <v>1</v>
      </c>
      <c r="F17">
        <v>18000</v>
      </c>
      <c r="G17">
        <v>18000</v>
      </c>
      <c r="H17">
        <v>18000</v>
      </c>
      <c r="I17" t="s">
        <v>89</v>
      </c>
      <c r="J17" t="s">
        <v>14</v>
      </c>
      <c r="K17">
        <f t="shared" si="0"/>
        <v>18000</v>
      </c>
      <c r="L17">
        <f t="shared" si="1"/>
        <v>2</v>
      </c>
      <c r="M17">
        <f t="shared" si="2"/>
        <v>9000</v>
      </c>
    </row>
    <row r="18" spans="1:13" x14ac:dyDescent="0.2">
      <c r="A18" s="1">
        <v>46120</v>
      </c>
      <c r="B18" t="s">
        <v>117</v>
      </c>
      <c r="C18" t="s">
        <v>118</v>
      </c>
      <c r="D18" t="s">
        <v>17</v>
      </c>
      <c r="E18">
        <v>5.5</v>
      </c>
      <c r="F18">
        <v>99000</v>
      </c>
      <c r="G18">
        <v>99000</v>
      </c>
      <c r="H18">
        <v>30000</v>
      </c>
      <c r="I18" t="s">
        <v>119</v>
      </c>
      <c r="J18" t="s">
        <v>14</v>
      </c>
      <c r="K18">
        <f t="shared" si="0"/>
        <v>18000</v>
      </c>
      <c r="L18">
        <f t="shared" si="1"/>
        <v>2</v>
      </c>
      <c r="M18">
        <f t="shared" si="2"/>
        <v>9000</v>
      </c>
    </row>
    <row r="19" spans="1:13" x14ac:dyDescent="0.2">
      <c r="A19" s="1">
        <v>46146</v>
      </c>
      <c r="B19" t="s">
        <v>136</v>
      </c>
      <c r="C19" t="s">
        <v>137</v>
      </c>
      <c r="D19" t="s">
        <v>17</v>
      </c>
      <c r="E19">
        <v>3.3</v>
      </c>
      <c r="F19">
        <v>60000</v>
      </c>
      <c r="G19">
        <v>60000</v>
      </c>
      <c r="H19">
        <v>90000</v>
      </c>
      <c r="I19" t="s">
        <v>138</v>
      </c>
      <c r="J19" t="s">
        <v>14</v>
      </c>
      <c r="K19">
        <f t="shared" si="0"/>
        <v>18181.818181818184</v>
      </c>
      <c r="L19">
        <f t="shared" si="1"/>
        <v>2</v>
      </c>
      <c r="M19">
        <f t="shared" si="2"/>
        <v>9090.9090909090919</v>
      </c>
    </row>
    <row r="20" spans="1:13" x14ac:dyDescent="0.2">
      <c r="A20" s="1">
        <v>46083</v>
      </c>
      <c r="B20" t="s">
        <v>62</v>
      </c>
      <c r="C20" t="s">
        <v>63</v>
      </c>
      <c r="D20" t="s">
        <v>17</v>
      </c>
      <c r="E20">
        <v>3.5</v>
      </c>
      <c r="F20">
        <v>65000</v>
      </c>
      <c r="G20">
        <v>65000</v>
      </c>
      <c r="H20">
        <v>105000</v>
      </c>
      <c r="I20" t="s">
        <v>64</v>
      </c>
      <c r="J20" t="s">
        <v>14</v>
      </c>
      <c r="K20">
        <f t="shared" si="0"/>
        <v>18571.428571428572</v>
      </c>
      <c r="L20">
        <f t="shared" si="1"/>
        <v>2</v>
      </c>
      <c r="M20">
        <f t="shared" si="2"/>
        <v>9285.7142857142862</v>
      </c>
    </row>
    <row r="21" spans="1:13" x14ac:dyDescent="0.2">
      <c r="A21" s="1">
        <v>46092</v>
      </c>
      <c r="B21" t="s">
        <v>76</v>
      </c>
      <c r="C21" t="s">
        <v>77</v>
      </c>
      <c r="D21" t="s">
        <v>28</v>
      </c>
      <c r="E21">
        <v>4</v>
      </c>
      <c r="F21">
        <v>56000</v>
      </c>
      <c r="G21">
        <v>56000</v>
      </c>
      <c r="H21">
        <v>56000</v>
      </c>
      <c r="I21" t="s">
        <v>78</v>
      </c>
      <c r="J21" t="s">
        <v>14</v>
      </c>
      <c r="K21">
        <f t="shared" si="0"/>
        <v>14000</v>
      </c>
      <c r="L21">
        <f t="shared" si="1"/>
        <v>1.5</v>
      </c>
      <c r="M21">
        <f t="shared" si="2"/>
        <v>9333.3333333333339</v>
      </c>
    </row>
    <row r="22" spans="1:13" x14ac:dyDescent="0.2">
      <c r="A22" s="1">
        <v>46147</v>
      </c>
      <c r="B22" t="s">
        <v>139</v>
      </c>
      <c r="C22" t="s">
        <v>140</v>
      </c>
      <c r="D22" t="s">
        <v>28</v>
      </c>
      <c r="E22">
        <v>4</v>
      </c>
      <c r="F22">
        <v>56471</v>
      </c>
      <c r="G22">
        <v>120000</v>
      </c>
      <c r="H22">
        <v>170000</v>
      </c>
      <c r="I22" t="s">
        <v>141</v>
      </c>
      <c r="J22" t="s">
        <v>14</v>
      </c>
      <c r="K22">
        <f t="shared" si="0"/>
        <v>14117.75</v>
      </c>
      <c r="L22">
        <f t="shared" si="1"/>
        <v>1.5</v>
      </c>
      <c r="M22">
        <f t="shared" si="2"/>
        <v>9411.8333333333339</v>
      </c>
    </row>
    <row r="23" spans="1:13" x14ac:dyDescent="0.2">
      <c r="A23" s="1">
        <v>46080</v>
      </c>
      <c r="B23" t="s">
        <v>59</v>
      </c>
      <c r="C23" t="s">
        <v>60</v>
      </c>
      <c r="D23" t="s">
        <v>17</v>
      </c>
      <c r="E23">
        <v>1</v>
      </c>
      <c r="F23">
        <v>19500</v>
      </c>
      <c r="G23">
        <v>19500</v>
      </c>
      <c r="H23">
        <v>30000</v>
      </c>
      <c r="I23" t="s">
        <v>61</v>
      </c>
      <c r="J23" t="s">
        <v>14</v>
      </c>
      <c r="K23">
        <f t="shared" si="0"/>
        <v>19500</v>
      </c>
      <c r="L23">
        <f t="shared" si="1"/>
        <v>2</v>
      </c>
      <c r="M23">
        <f t="shared" si="2"/>
        <v>9750</v>
      </c>
    </row>
    <row r="24" spans="1:13" x14ac:dyDescent="0.2">
      <c r="A24" s="1">
        <v>46038</v>
      </c>
      <c r="B24" t="s">
        <v>29</v>
      </c>
      <c r="C24" t="s">
        <v>30</v>
      </c>
      <c r="D24" t="s">
        <v>28</v>
      </c>
      <c r="E24">
        <v>20</v>
      </c>
      <c r="F24">
        <v>299592</v>
      </c>
      <c r="G24">
        <v>367000</v>
      </c>
      <c r="H24">
        <v>400000</v>
      </c>
      <c r="I24" t="s">
        <v>31</v>
      </c>
      <c r="J24" t="s">
        <v>14</v>
      </c>
      <c r="K24">
        <f t="shared" si="0"/>
        <v>14979.6</v>
      </c>
      <c r="L24">
        <f t="shared" si="1"/>
        <v>1.5</v>
      </c>
      <c r="M24">
        <f t="shared" si="2"/>
        <v>9986.4</v>
      </c>
    </row>
    <row r="25" spans="1:13" x14ac:dyDescent="0.2">
      <c r="A25" s="1">
        <v>46029</v>
      </c>
      <c r="B25" t="s">
        <v>15</v>
      </c>
      <c r="C25" t="s">
        <v>16</v>
      </c>
      <c r="D25" t="s">
        <v>17</v>
      </c>
      <c r="E25">
        <v>3.5</v>
      </c>
      <c r="F25">
        <v>70000</v>
      </c>
      <c r="G25">
        <v>70000</v>
      </c>
      <c r="H25">
        <v>70000</v>
      </c>
      <c r="I25" t="s">
        <v>18</v>
      </c>
      <c r="J25" t="s">
        <v>14</v>
      </c>
      <c r="K25">
        <f t="shared" si="0"/>
        <v>20000</v>
      </c>
      <c r="L25">
        <f t="shared" si="1"/>
        <v>2</v>
      </c>
      <c r="M25">
        <f t="shared" si="2"/>
        <v>10000</v>
      </c>
    </row>
    <row r="26" spans="1:13" x14ac:dyDescent="0.2">
      <c r="A26" s="1">
        <v>46079</v>
      </c>
      <c r="B26" t="s">
        <v>49</v>
      </c>
      <c r="C26" t="s">
        <v>50</v>
      </c>
      <c r="D26" t="s">
        <v>17</v>
      </c>
      <c r="E26">
        <v>3</v>
      </c>
      <c r="F26">
        <v>60000</v>
      </c>
      <c r="G26">
        <v>60000</v>
      </c>
      <c r="H26">
        <v>90000</v>
      </c>
      <c r="I26" t="s">
        <v>51</v>
      </c>
      <c r="J26" t="s">
        <v>14</v>
      </c>
      <c r="K26">
        <f t="shared" si="0"/>
        <v>20000</v>
      </c>
      <c r="L26">
        <f t="shared" si="1"/>
        <v>2</v>
      </c>
      <c r="M26">
        <f t="shared" si="2"/>
        <v>10000</v>
      </c>
    </row>
    <row r="27" spans="1:13" x14ac:dyDescent="0.2">
      <c r="A27" s="1">
        <v>46080</v>
      </c>
      <c r="B27" t="s">
        <v>52</v>
      </c>
      <c r="C27" t="s">
        <v>53</v>
      </c>
      <c r="D27" t="s">
        <v>17</v>
      </c>
      <c r="E27">
        <v>1.5</v>
      </c>
      <c r="F27">
        <v>30000</v>
      </c>
      <c r="G27">
        <v>30000</v>
      </c>
      <c r="H27">
        <v>45000</v>
      </c>
      <c r="I27" t="s">
        <v>54</v>
      </c>
      <c r="J27" t="s">
        <v>14</v>
      </c>
      <c r="K27">
        <f t="shared" si="0"/>
        <v>20000</v>
      </c>
      <c r="L27">
        <f t="shared" si="1"/>
        <v>2</v>
      </c>
      <c r="M27">
        <f t="shared" si="2"/>
        <v>10000</v>
      </c>
    </row>
    <row r="28" spans="1:13" x14ac:dyDescent="0.2">
      <c r="A28" s="1">
        <v>46092</v>
      </c>
      <c r="B28" t="s">
        <v>79</v>
      </c>
      <c r="C28" t="s">
        <v>80</v>
      </c>
      <c r="D28" t="s">
        <v>17</v>
      </c>
      <c r="E28">
        <v>1.5</v>
      </c>
      <c r="F28">
        <v>30000</v>
      </c>
      <c r="G28">
        <v>30000</v>
      </c>
      <c r="H28">
        <v>45000</v>
      </c>
      <c r="I28" t="s">
        <v>81</v>
      </c>
      <c r="J28" t="s">
        <v>14</v>
      </c>
      <c r="K28">
        <f t="shared" si="0"/>
        <v>20000</v>
      </c>
      <c r="L28">
        <f t="shared" si="1"/>
        <v>2</v>
      </c>
      <c r="M28">
        <f t="shared" si="2"/>
        <v>10000</v>
      </c>
    </row>
    <row r="29" spans="1:13" x14ac:dyDescent="0.2">
      <c r="A29" s="1">
        <v>46120</v>
      </c>
      <c r="B29" t="s">
        <v>120</v>
      </c>
      <c r="C29" t="s">
        <v>16</v>
      </c>
      <c r="D29" t="s">
        <v>17</v>
      </c>
      <c r="E29">
        <v>0.4</v>
      </c>
      <c r="F29">
        <v>8000</v>
      </c>
      <c r="G29">
        <v>8000</v>
      </c>
      <c r="H29">
        <v>12000</v>
      </c>
      <c r="I29" t="s">
        <v>121</v>
      </c>
      <c r="J29" t="s">
        <v>14</v>
      </c>
      <c r="K29">
        <f t="shared" si="0"/>
        <v>20000</v>
      </c>
      <c r="L29">
        <f t="shared" si="1"/>
        <v>2</v>
      </c>
      <c r="M29">
        <f t="shared" si="2"/>
        <v>10000</v>
      </c>
    </row>
    <row r="30" spans="1:13" x14ac:dyDescent="0.2">
      <c r="A30" s="1">
        <v>46122</v>
      </c>
      <c r="B30" t="s">
        <v>122</v>
      </c>
      <c r="C30" t="s">
        <v>123</v>
      </c>
      <c r="D30" t="s">
        <v>17</v>
      </c>
      <c r="E30">
        <v>2.5</v>
      </c>
      <c r="F30">
        <v>50000</v>
      </c>
      <c r="G30">
        <v>50000</v>
      </c>
      <c r="H30">
        <v>75000</v>
      </c>
      <c r="I30" t="s">
        <v>124</v>
      </c>
      <c r="J30" t="s">
        <v>14</v>
      </c>
      <c r="K30">
        <f t="shared" si="0"/>
        <v>20000</v>
      </c>
      <c r="L30">
        <f t="shared" si="1"/>
        <v>2</v>
      </c>
      <c r="M30">
        <f t="shared" si="2"/>
        <v>10000</v>
      </c>
    </row>
    <row r="31" spans="1:13" x14ac:dyDescent="0.2">
      <c r="A31" s="1">
        <v>46161</v>
      </c>
      <c r="B31" t="s">
        <v>144</v>
      </c>
      <c r="C31" t="s">
        <v>100</v>
      </c>
      <c r="D31" t="s">
        <v>17</v>
      </c>
      <c r="E31">
        <v>1.5</v>
      </c>
      <c r="F31">
        <v>31500</v>
      </c>
      <c r="G31">
        <v>89250</v>
      </c>
      <c r="I31" t="s">
        <v>145</v>
      </c>
      <c r="J31" t="s">
        <v>14</v>
      </c>
      <c r="K31">
        <f t="shared" si="0"/>
        <v>21000</v>
      </c>
      <c r="L31">
        <f t="shared" si="1"/>
        <v>2</v>
      </c>
      <c r="M31">
        <f t="shared" si="2"/>
        <v>10500</v>
      </c>
    </row>
    <row r="32" spans="1:13" x14ac:dyDescent="0.2">
      <c r="A32" s="1">
        <v>46161</v>
      </c>
      <c r="B32" t="s">
        <v>144</v>
      </c>
      <c r="C32" t="s">
        <v>100</v>
      </c>
      <c r="D32" t="s">
        <v>28</v>
      </c>
      <c r="E32">
        <v>3</v>
      </c>
      <c r="F32">
        <v>47250</v>
      </c>
      <c r="G32">
        <v>89250</v>
      </c>
      <c r="I32" t="s">
        <v>145</v>
      </c>
      <c r="J32" t="s">
        <v>14</v>
      </c>
      <c r="K32">
        <f t="shared" si="0"/>
        <v>15750</v>
      </c>
      <c r="L32">
        <f t="shared" si="1"/>
        <v>1.5</v>
      </c>
      <c r="M32">
        <f t="shared" si="2"/>
        <v>10500</v>
      </c>
    </row>
    <row r="33" spans="1:13" x14ac:dyDescent="0.2">
      <c r="A33" s="1">
        <v>46147</v>
      </c>
      <c r="B33" t="s">
        <v>139</v>
      </c>
      <c r="C33" t="s">
        <v>140</v>
      </c>
      <c r="D33" t="s">
        <v>17</v>
      </c>
      <c r="E33">
        <v>3</v>
      </c>
      <c r="F33">
        <v>63529</v>
      </c>
      <c r="G33">
        <v>120000</v>
      </c>
      <c r="H33">
        <v>170000</v>
      </c>
      <c r="I33" t="s">
        <v>141</v>
      </c>
      <c r="J33" t="s">
        <v>14</v>
      </c>
      <c r="K33">
        <f t="shared" si="0"/>
        <v>21176.333333333332</v>
      </c>
      <c r="L33">
        <f t="shared" si="1"/>
        <v>2</v>
      </c>
      <c r="M33">
        <f t="shared" si="2"/>
        <v>10588.166666666666</v>
      </c>
    </row>
    <row r="34" spans="1:13" x14ac:dyDescent="0.2">
      <c r="A34" s="1">
        <v>46038</v>
      </c>
      <c r="B34" t="s">
        <v>29</v>
      </c>
      <c r="C34" t="s">
        <v>30</v>
      </c>
      <c r="D34" t="s">
        <v>17</v>
      </c>
      <c r="E34">
        <v>3</v>
      </c>
      <c r="F34">
        <v>67408</v>
      </c>
      <c r="G34">
        <v>367000</v>
      </c>
      <c r="H34">
        <v>400000</v>
      </c>
      <c r="I34" t="s">
        <v>31</v>
      </c>
      <c r="J34" t="s">
        <v>14</v>
      </c>
      <c r="K34">
        <f t="shared" ref="K34:K65" si="3">$F34/$E34</f>
        <v>22469.333333333332</v>
      </c>
      <c r="L34">
        <f t="shared" si="1"/>
        <v>2</v>
      </c>
      <c r="M34">
        <f t="shared" ref="M34:M65" si="4">$K34/$L34</f>
        <v>11234.666666666666</v>
      </c>
    </row>
    <row r="35" spans="1:13" x14ac:dyDescent="0.2">
      <c r="A35" s="1">
        <v>46080</v>
      </c>
      <c r="B35" t="s">
        <v>55</v>
      </c>
      <c r="C35" t="s">
        <v>56</v>
      </c>
      <c r="D35" t="s">
        <v>17</v>
      </c>
      <c r="E35">
        <v>20</v>
      </c>
      <c r="F35">
        <v>450000</v>
      </c>
      <c r="G35">
        <v>483750</v>
      </c>
      <c r="H35">
        <v>645000</v>
      </c>
      <c r="I35" t="s">
        <v>58</v>
      </c>
      <c r="J35" t="s">
        <v>14</v>
      </c>
      <c r="K35">
        <f t="shared" si="3"/>
        <v>22500</v>
      </c>
      <c r="L35">
        <f t="shared" si="1"/>
        <v>2</v>
      </c>
      <c r="M35">
        <f t="shared" si="4"/>
        <v>11250</v>
      </c>
    </row>
    <row r="36" spans="1:13" x14ac:dyDescent="0.2">
      <c r="A36" s="1">
        <v>46079</v>
      </c>
      <c r="B36" t="s">
        <v>46</v>
      </c>
      <c r="C36" t="s">
        <v>47</v>
      </c>
      <c r="D36" t="s">
        <v>28</v>
      </c>
      <c r="E36">
        <v>2.5</v>
      </c>
      <c r="F36">
        <v>42500</v>
      </c>
      <c r="G36">
        <v>68000</v>
      </c>
      <c r="H36">
        <v>80000</v>
      </c>
      <c r="I36" t="s">
        <v>48</v>
      </c>
      <c r="J36" t="s">
        <v>14</v>
      </c>
      <c r="K36">
        <f t="shared" si="3"/>
        <v>17000</v>
      </c>
      <c r="L36">
        <f t="shared" si="1"/>
        <v>1.5</v>
      </c>
      <c r="M36">
        <f t="shared" si="4"/>
        <v>11333.333333333334</v>
      </c>
    </row>
    <row r="37" spans="1:13" x14ac:dyDescent="0.2">
      <c r="A37" s="1">
        <v>46083</v>
      </c>
      <c r="B37" t="s">
        <v>65</v>
      </c>
      <c r="C37" t="s">
        <v>66</v>
      </c>
      <c r="D37" t="s">
        <v>28</v>
      </c>
      <c r="E37">
        <v>3.5</v>
      </c>
      <c r="F37">
        <v>59500</v>
      </c>
      <c r="G37">
        <v>59500</v>
      </c>
      <c r="H37">
        <v>59500</v>
      </c>
      <c r="I37" t="s">
        <v>67</v>
      </c>
      <c r="J37" t="s">
        <v>14</v>
      </c>
      <c r="K37">
        <f t="shared" si="3"/>
        <v>17000</v>
      </c>
      <c r="L37">
        <f t="shared" si="1"/>
        <v>1.5</v>
      </c>
      <c r="M37">
        <f t="shared" si="4"/>
        <v>11333.333333333334</v>
      </c>
    </row>
    <row r="38" spans="1:13" x14ac:dyDescent="0.2">
      <c r="A38" s="1">
        <v>46079</v>
      </c>
      <c r="B38" t="s">
        <v>46</v>
      </c>
      <c r="C38" t="s">
        <v>47</v>
      </c>
      <c r="D38" t="s">
        <v>17</v>
      </c>
      <c r="E38">
        <v>1</v>
      </c>
      <c r="F38">
        <v>25500</v>
      </c>
      <c r="G38">
        <v>68000</v>
      </c>
      <c r="H38">
        <v>80000</v>
      </c>
      <c r="I38" t="s">
        <v>48</v>
      </c>
      <c r="J38" t="s">
        <v>14</v>
      </c>
      <c r="K38">
        <f t="shared" si="3"/>
        <v>25500</v>
      </c>
      <c r="L38">
        <f t="shared" si="1"/>
        <v>2</v>
      </c>
      <c r="M38">
        <f t="shared" si="4"/>
        <v>12750</v>
      </c>
    </row>
    <row r="39" spans="1:13" x14ac:dyDescent="0.2">
      <c r="A39" s="1">
        <v>46037</v>
      </c>
      <c r="B39" t="s">
        <v>26</v>
      </c>
      <c r="C39" t="s">
        <v>27</v>
      </c>
      <c r="D39" t="s">
        <v>28</v>
      </c>
      <c r="E39">
        <v>5</v>
      </c>
      <c r="F39">
        <v>100000</v>
      </c>
      <c r="G39">
        <v>100000</v>
      </c>
      <c r="H39">
        <v>100000</v>
      </c>
      <c r="I39" t="s">
        <v>22</v>
      </c>
      <c r="J39" t="s">
        <v>14</v>
      </c>
      <c r="K39">
        <f t="shared" si="3"/>
        <v>20000</v>
      </c>
      <c r="L39">
        <f t="shared" si="1"/>
        <v>1.5</v>
      </c>
      <c r="M39">
        <f t="shared" si="4"/>
        <v>13333.333333333334</v>
      </c>
    </row>
    <row r="40" spans="1:13" x14ac:dyDescent="0.2">
      <c r="A40" s="1">
        <v>46069</v>
      </c>
      <c r="B40" t="s">
        <v>43</v>
      </c>
      <c r="C40" t="s">
        <v>44</v>
      </c>
      <c r="D40" t="s">
        <v>17</v>
      </c>
      <c r="E40">
        <v>4</v>
      </c>
      <c r="F40">
        <v>108000</v>
      </c>
      <c r="G40">
        <v>108000</v>
      </c>
      <c r="H40">
        <v>120000</v>
      </c>
      <c r="I40" t="s">
        <v>45</v>
      </c>
      <c r="J40" t="s">
        <v>14</v>
      </c>
      <c r="K40">
        <f t="shared" si="3"/>
        <v>27000</v>
      </c>
      <c r="L40">
        <f t="shared" si="1"/>
        <v>2</v>
      </c>
      <c r="M40">
        <f t="shared" si="4"/>
        <v>13500</v>
      </c>
    </row>
    <row r="41" spans="1:13" x14ac:dyDescent="0.2">
      <c r="A41" s="1">
        <v>46036</v>
      </c>
      <c r="B41" t="s">
        <v>23</v>
      </c>
      <c r="C41" t="s">
        <v>24</v>
      </c>
      <c r="D41" t="s">
        <v>17</v>
      </c>
      <c r="E41">
        <v>1.5</v>
      </c>
      <c r="F41">
        <v>45000</v>
      </c>
      <c r="G41">
        <v>125000</v>
      </c>
      <c r="H41">
        <v>125000</v>
      </c>
      <c r="I41" t="s">
        <v>22</v>
      </c>
      <c r="J41" t="s">
        <v>14</v>
      </c>
      <c r="K41">
        <f t="shared" si="3"/>
        <v>30000</v>
      </c>
      <c r="L41">
        <f t="shared" si="1"/>
        <v>2</v>
      </c>
      <c r="M41">
        <f t="shared" si="4"/>
        <v>15000</v>
      </c>
    </row>
    <row r="42" spans="1:13" x14ac:dyDescent="0.2">
      <c r="A42" s="1">
        <v>46043</v>
      </c>
      <c r="B42" t="s">
        <v>35</v>
      </c>
      <c r="C42" t="s">
        <v>36</v>
      </c>
      <c r="D42" t="s">
        <v>17</v>
      </c>
      <c r="E42">
        <v>2</v>
      </c>
      <c r="F42">
        <v>60000</v>
      </c>
      <c r="G42">
        <v>60000</v>
      </c>
      <c r="H42">
        <v>60000</v>
      </c>
      <c r="I42" t="s">
        <v>22</v>
      </c>
      <c r="J42" t="s">
        <v>14</v>
      </c>
      <c r="K42">
        <f t="shared" si="3"/>
        <v>30000</v>
      </c>
      <c r="L42">
        <f t="shared" si="1"/>
        <v>2</v>
      </c>
      <c r="M42">
        <f t="shared" si="4"/>
        <v>15000</v>
      </c>
    </row>
    <row r="43" spans="1:13" x14ac:dyDescent="0.2">
      <c r="A43" s="1">
        <v>46084</v>
      </c>
      <c r="B43" t="s">
        <v>68</v>
      </c>
      <c r="C43" t="s">
        <v>69</v>
      </c>
      <c r="D43" t="s">
        <v>17</v>
      </c>
      <c r="E43">
        <v>1</v>
      </c>
      <c r="F43">
        <v>30000</v>
      </c>
      <c r="G43">
        <v>30000</v>
      </c>
      <c r="H43">
        <v>30000</v>
      </c>
      <c r="I43" t="s">
        <v>22</v>
      </c>
      <c r="J43" t="s">
        <v>14</v>
      </c>
      <c r="K43">
        <f t="shared" si="3"/>
        <v>30000</v>
      </c>
      <c r="L43">
        <f t="shared" si="1"/>
        <v>2</v>
      </c>
      <c r="M43">
        <f t="shared" si="4"/>
        <v>15000</v>
      </c>
    </row>
    <row r="44" spans="1:13" x14ac:dyDescent="0.2">
      <c r="A44" s="1">
        <v>46091</v>
      </c>
      <c r="B44" t="s">
        <v>74</v>
      </c>
      <c r="C44" t="s">
        <v>75</v>
      </c>
      <c r="D44" t="s">
        <v>17</v>
      </c>
      <c r="E44">
        <v>0.3</v>
      </c>
      <c r="F44">
        <v>9000</v>
      </c>
      <c r="G44">
        <v>9000</v>
      </c>
      <c r="H44">
        <v>9000</v>
      </c>
      <c r="I44" t="s">
        <v>22</v>
      </c>
      <c r="J44" t="s">
        <v>14</v>
      </c>
      <c r="K44">
        <f t="shared" si="3"/>
        <v>30000</v>
      </c>
      <c r="L44">
        <f t="shared" si="1"/>
        <v>2</v>
      </c>
      <c r="M44">
        <f t="shared" si="4"/>
        <v>15000</v>
      </c>
    </row>
    <row r="45" spans="1:13" x14ac:dyDescent="0.2">
      <c r="A45" s="1">
        <v>46114</v>
      </c>
      <c r="B45" t="s">
        <v>115</v>
      </c>
      <c r="C45" t="s">
        <v>116</v>
      </c>
      <c r="D45" t="s">
        <v>17</v>
      </c>
      <c r="E45">
        <v>0.6</v>
      </c>
      <c r="F45">
        <v>18000</v>
      </c>
      <c r="G45">
        <v>18000</v>
      </c>
      <c r="H45">
        <v>18000</v>
      </c>
      <c r="I45" t="s">
        <v>22</v>
      </c>
      <c r="J45" t="s">
        <v>14</v>
      </c>
      <c r="K45">
        <f t="shared" si="3"/>
        <v>30000</v>
      </c>
      <c r="L45">
        <f t="shared" si="1"/>
        <v>2</v>
      </c>
      <c r="M45">
        <f t="shared" si="4"/>
        <v>15000</v>
      </c>
    </row>
    <row r="46" spans="1:13" x14ac:dyDescent="0.2">
      <c r="A46" s="1">
        <v>46169</v>
      </c>
      <c r="B46" t="s">
        <v>152</v>
      </c>
      <c r="C46" t="s">
        <v>153</v>
      </c>
      <c r="D46" t="s">
        <v>17</v>
      </c>
      <c r="E46">
        <v>1</v>
      </c>
      <c r="F46">
        <v>30000</v>
      </c>
      <c r="G46">
        <v>30000</v>
      </c>
      <c r="H46">
        <v>30000</v>
      </c>
      <c r="I46" t="s">
        <v>22</v>
      </c>
      <c r="J46" t="s">
        <v>14</v>
      </c>
      <c r="K46">
        <f t="shared" si="3"/>
        <v>30000</v>
      </c>
      <c r="L46">
        <f t="shared" si="1"/>
        <v>2</v>
      </c>
      <c r="M46">
        <f t="shared" si="4"/>
        <v>15000</v>
      </c>
    </row>
    <row r="47" spans="1:13" x14ac:dyDescent="0.2">
      <c r="A47" s="1">
        <v>46029</v>
      </c>
      <c r="B47" t="s">
        <v>10</v>
      </c>
      <c r="C47" t="s">
        <v>11</v>
      </c>
      <c r="D47" t="s">
        <v>12</v>
      </c>
      <c r="E47">
        <v>18</v>
      </c>
      <c r="F47">
        <v>360000</v>
      </c>
      <c r="G47">
        <v>360000</v>
      </c>
      <c r="H47">
        <v>540000</v>
      </c>
      <c r="I47" t="s">
        <v>13</v>
      </c>
      <c r="J47" t="s">
        <v>14</v>
      </c>
      <c r="K47">
        <f t="shared" si="3"/>
        <v>20000</v>
      </c>
      <c r="L47">
        <v>3</v>
      </c>
      <c r="M47">
        <f t="shared" si="4"/>
        <v>6666.666666666667</v>
      </c>
    </row>
    <row r="48" spans="1:13" x14ac:dyDescent="0.2">
      <c r="A48" s="1">
        <v>46034</v>
      </c>
      <c r="B48" t="s">
        <v>19</v>
      </c>
      <c r="C48" t="s">
        <v>20</v>
      </c>
      <c r="D48" t="s">
        <v>21</v>
      </c>
      <c r="F48">
        <v>30400</v>
      </c>
      <c r="G48">
        <v>30400</v>
      </c>
      <c r="H48">
        <v>30400</v>
      </c>
      <c r="I48" t="s">
        <v>22</v>
      </c>
      <c r="J48" t="s">
        <v>14</v>
      </c>
      <c r="K48" t="e">
        <f t="shared" si="3"/>
        <v>#DIV/0!</v>
      </c>
      <c r="L48">
        <f>IF($D48="AUD",2,IF($D48="FV",1.5,0))</f>
        <v>0</v>
      </c>
      <c r="M48" t="e">
        <f t="shared" si="4"/>
        <v>#DIV/0!</v>
      </c>
    </row>
    <row r="49" spans="1:13" x14ac:dyDescent="0.2">
      <c r="A49" s="1">
        <v>46036</v>
      </c>
      <c r="B49" t="s">
        <v>23</v>
      </c>
      <c r="C49" t="s">
        <v>24</v>
      </c>
      <c r="D49" t="s">
        <v>25</v>
      </c>
      <c r="E49">
        <v>4</v>
      </c>
      <c r="F49">
        <v>80000</v>
      </c>
      <c r="G49">
        <v>125000</v>
      </c>
      <c r="H49">
        <v>125000</v>
      </c>
      <c r="I49" t="s">
        <v>22</v>
      </c>
      <c r="J49" t="s">
        <v>14</v>
      </c>
      <c r="K49">
        <f t="shared" si="3"/>
        <v>20000</v>
      </c>
      <c r="L49">
        <v>0</v>
      </c>
      <c r="M49" t="e">
        <f t="shared" si="4"/>
        <v>#DIV/0!</v>
      </c>
    </row>
    <row r="50" spans="1:13" x14ac:dyDescent="0.2">
      <c r="A50" s="1">
        <v>46080</v>
      </c>
      <c r="B50" t="s">
        <v>55</v>
      </c>
      <c r="C50" t="s">
        <v>56</v>
      </c>
      <c r="D50" t="s">
        <v>57</v>
      </c>
      <c r="E50">
        <v>3</v>
      </c>
      <c r="F50">
        <v>33750</v>
      </c>
      <c r="G50">
        <v>483750</v>
      </c>
      <c r="H50">
        <v>645000</v>
      </c>
      <c r="I50" t="s">
        <v>58</v>
      </c>
      <c r="J50" t="s">
        <v>14</v>
      </c>
      <c r="K50">
        <f t="shared" si="3"/>
        <v>11250</v>
      </c>
      <c r="L50">
        <f>IF($D50="AUD",2,IF($D50="FV",1.5,0))</f>
        <v>0</v>
      </c>
      <c r="M50" t="e">
        <f t="shared" si="4"/>
        <v>#DIV/0!</v>
      </c>
    </row>
    <row r="51" spans="1:13" x14ac:dyDescent="0.2">
      <c r="A51" s="1">
        <v>46088</v>
      </c>
      <c r="B51" t="s">
        <v>70</v>
      </c>
      <c r="C51" t="s">
        <v>71</v>
      </c>
      <c r="D51" t="s">
        <v>72</v>
      </c>
      <c r="E51">
        <v>6</v>
      </c>
      <c r="F51">
        <v>153000</v>
      </c>
      <c r="G51">
        <v>153000</v>
      </c>
      <c r="H51">
        <v>153000</v>
      </c>
      <c r="I51" t="s">
        <v>73</v>
      </c>
      <c r="J51" t="s">
        <v>14</v>
      </c>
      <c r="K51">
        <f t="shared" si="3"/>
        <v>25500</v>
      </c>
      <c r="L51">
        <f>IF($D51="AUD",2,IF($D51="FV",1.5,0))</f>
        <v>0</v>
      </c>
      <c r="M51" t="e">
        <f t="shared" si="4"/>
        <v>#DIV/0!</v>
      </c>
    </row>
    <row r="52" spans="1:13" x14ac:dyDescent="0.2">
      <c r="A52" s="1">
        <v>46094</v>
      </c>
      <c r="B52" t="s">
        <v>82</v>
      </c>
      <c r="C52" t="s">
        <v>83</v>
      </c>
      <c r="D52" t="s">
        <v>84</v>
      </c>
      <c r="E52">
        <v>3</v>
      </c>
      <c r="F52">
        <v>48000</v>
      </c>
      <c r="G52">
        <v>48000</v>
      </c>
      <c r="H52">
        <v>48000</v>
      </c>
      <c r="I52" t="s">
        <v>22</v>
      </c>
      <c r="J52" t="s">
        <v>14</v>
      </c>
      <c r="K52">
        <f t="shared" si="3"/>
        <v>16000</v>
      </c>
      <c r="L52">
        <v>2</v>
      </c>
      <c r="M52">
        <f t="shared" si="4"/>
        <v>8000</v>
      </c>
    </row>
    <row r="53" spans="1:13" x14ac:dyDescent="0.2">
      <c r="A53" s="1">
        <v>46105</v>
      </c>
      <c r="B53" t="s">
        <v>93</v>
      </c>
      <c r="C53" t="s">
        <v>69</v>
      </c>
      <c r="D53" t="s">
        <v>94</v>
      </c>
      <c r="E53">
        <v>26</v>
      </c>
      <c r="F53">
        <v>253500</v>
      </c>
      <c r="G53">
        <v>253500</v>
      </c>
      <c r="H53">
        <v>253500</v>
      </c>
      <c r="I53" t="s">
        <v>95</v>
      </c>
      <c r="J53" t="s">
        <v>14</v>
      </c>
      <c r="K53">
        <f t="shared" si="3"/>
        <v>9750</v>
      </c>
      <c r="L53">
        <v>0</v>
      </c>
      <c r="M53" t="e">
        <f t="shared" si="4"/>
        <v>#DIV/0!</v>
      </c>
    </row>
    <row r="54" spans="1:13" x14ac:dyDescent="0.2">
      <c r="A54" s="1">
        <v>46107</v>
      </c>
      <c r="B54" t="s">
        <v>96</v>
      </c>
      <c r="C54" t="s">
        <v>24</v>
      </c>
      <c r="D54" t="s">
        <v>97</v>
      </c>
      <c r="E54">
        <v>16</v>
      </c>
      <c r="F54">
        <v>204000</v>
      </c>
      <c r="G54">
        <v>204000</v>
      </c>
      <c r="H54">
        <v>204000</v>
      </c>
      <c r="I54" t="s">
        <v>98</v>
      </c>
      <c r="J54" t="s">
        <v>14</v>
      </c>
      <c r="K54">
        <f t="shared" si="3"/>
        <v>12750</v>
      </c>
      <c r="L54">
        <f>IF($D54="AUD",2,IF($D54="FV",1.5,0))</f>
        <v>0</v>
      </c>
      <c r="M54" t="e">
        <f t="shared" si="4"/>
        <v>#DIV/0!</v>
      </c>
    </row>
    <row r="55" spans="1:13" x14ac:dyDescent="0.2">
      <c r="A55" s="1">
        <v>46112</v>
      </c>
      <c r="B55" t="s">
        <v>105</v>
      </c>
      <c r="C55" t="s">
        <v>106</v>
      </c>
      <c r="D55" t="s">
        <v>107</v>
      </c>
      <c r="E55" t="s">
        <v>108</v>
      </c>
      <c r="F55">
        <v>104000</v>
      </c>
      <c r="G55">
        <v>104000</v>
      </c>
      <c r="I55" t="s">
        <v>109</v>
      </c>
      <c r="J55" t="s">
        <v>14</v>
      </c>
      <c r="K55" t="e">
        <f t="shared" si="3"/>
        <v>#VALUE!</v>
      </c>
      <c r="L55">
        <f>IF($D55="AUD",2,IF($D55="FV",1.5,0))</f>
        <v>0</v>
      </c>
      <c r="M55" t="e">
        <f t="shared" si="4"/>
        <v>#VALUE!</v>
      </c>
    </row>
    <row r="56" spans="1:13" x14ac:dyDescent="0.2">
      <c r="A56" s="1">
        <v>46113</v>
      </c>
      <c r="B56" t="s">
        <v>110</v>
      </c>
      <c r="C56" t="s">
        <v>111</v>
      </c>
      <c r="D56" t="s">
        <v>112</v>
      </c>
      <c r="E56" t="s">
        <v>113</v>
      </c>
      <c r="F56">
        <v>714000</v>
      </c>
      <c r="G56">
        <v>714000</v>
      </c>
      <c r="H56">
        <v>714000</v>
      </c>
      <c r="I56" t="s">
        <v>114</v>
      </c>
      <c r="J56" t="s">
        <v>14</v>
      </c>
      <c r="K56" t="e">
        <f t="shared" si="3"/>
        <v>#VALUE!</v>
      </c>
      <c r="L56">
        <f>IF($D56="AUD",2,IF($D56="FV",1.5,0))</f>
        <v>0</v>
      </c>
      <c r="M56" t="e">
        <f t="shared" si="4"/>
        <v>#VALUE!</v>
      </c>
    </row>
    <row r="57" spans="1:13" x14ac:dyDescent="0.2">
      <c r="A57" s="1">
        <v>46133</v>
      </c>
      <c r="B57" t="s">
        <v>128</v>
      </c>
      <c r="C57" t="s">
        <v>33</v>
      </c>
      <c r="D57" t="s">
        <v>97</v>
      </c>
      <c r="E57">
        <v>1</v>
      </c>
      <c r="F57">
        <v>20000</v>
      </c>
      <c r="G57">
        <v>20000</v>
      </c>
      <c r="H57">
        <v>20000</v>
      </c>
      <c r="I57" t="s">
        <v>22</v>
      </c>
      <c r="J57" t="s">
        <v>14</v>
      </c>
      <c r="K57">
        <f t="shared" si="3"/>
        <v>20000</v>
      </c>
      <c r="L57">
        <f>IF($D57="AUD",2,IF($D57="FV",1.5,0))</f>
        <v>0</v>
      </c>
      <c r="M57" t="e">
        <f t="shared" si="4"/>
        <v>#DIV/0!</v>
      </c>
    </row>
    <row r="58" spans="1:13" x14ac:dyDescent="0.2">
      <c r="A58" s="1">
        <v>46142</v>
      </c>
      <c r="B58" t="s">
        <v>129</v>
      </c>
      <c r="C58" t="s">
        <v>130</v>
      </c>
      <c r="D58" t="s">
        <v>131</v>
      </c>
      <c r="E58">
        <v>10</v>
      </c>
      <c r="F58">
        <v>250000</v>
      </c>
      <c r="G58">
        <v>250000</v>
      </c>
      <c r="H58">
        <v>300000</v>
      </c>
      <c r="I58" t="s">
        <v>132</v>
      </c>
      <c r="J58" t="s">
        <v>14</v>
      </c>
      <c r="K58">
        <f t="shared" si="3"/>
        <v>25000</v>
      </c>
      <c r="L58">
        <v>2</v>
      </c>
      <c r="M58">
        <f t="shared" si="4"/>
        <v>12500</v>
      </c>
    </row>
    <row r="59" spans="1:13" x14ac:dyDescent="0.2">
      <c r="A59" s="1">
        <v>46153</v>
      </c>
      <c r="B59" t="s">
        <v>142</v>
      </c>
      <c r="C59" t="s">
        <v>47</v>
      </c>
      <c r="D59" t="s">
        <v>97</v>
      </c>
      <c r="E59">
        <v>3</v>
      </c>
      <c r="F59">
        <v>80000</v>
      </c>
      <c r="G59">
        <v>80000</v>
      </c>
      <c r="H59">
        <v>90000</v>
      </c>
      <c r="I59" t="s">
        <v>143</v>
      </c>
      <c r="J59" t="s">
        <v>14</v>
      </c>
      <c r="K59">
        <f t="shared" si="3"/>
        <v>26666.666666666668</v>
      </c>
      <c r="L59">
        <v>2</v>
      </c>
      <c r="M59">
        <f t="shared" si="4"/>
        <v>13333.333333333334</v>
      </c>
    </row>
    <row r="60" spans="1:13" x14ac:dyDescent="0.2">
      <c r="A60" s="1">
        <v>46161</v>
      </c>
      <c r="B60" t="s">
        <v>144</v>
      </c>
      <c r="C60" t="s">
        <v>100</v>
      </c>
      <c r="D60" t="s">
        <v>146</v>
      </c>
      <c r="E60">
        <v>1</v>
      </c>
      <c r="F60">
        <v>10500</v>
      </c>
      <c r="G60">
        <v>89250</v>
      </c>
      <c r="I60" t="s">
        <v>145</v>
      </c>
      <c r="J60" t="s">
        <v>14</v>
      </c>
      <c r="K60">
        <f t="shared" si="3"/>
        <v>10500</v>
      </c>
      <c r="L60">
        <f>IF($D60="AUD",2,IF($D60="FV",1.5,0))</f>
        <v>0</v>
      </c>
      <c r="M60" t="e">
        <f t="shared" si="4"/>
        <v>#DIV/0!</v>
      </c>
    </row>
    <row r="61" spans="1:13" x14ac:dyDescent="0.2">
      <c r="A61" s="1">
        <v>46163</v>
      </c>
      <c r="B61" t="s">
        <v>147</v>
      </c>
      <c r="C61" t="s">
        <v>148</v>
      </c>
      <c r="D61" t="s">
        <v>72</v>
      </c>
      <c r="E61">
        <v>16</v>
      </c>
      <c r="F61">
        <v>204000</v>
      </c>
      <c r="G61">
        <v>204000</v>
      </c>
      <c r="H61">
        <v>240000</v>
      </c>
      <c r="I61" t="s">
        <v>149</v>
      </c>
      <c r="J61" t="s">
        <v>14</v>
      </c>
      <c r="K61">
        <f t="shared" si="3"/>
        <v>12750</v>
      </c>
      <c r="L61">
        <v>0</v>
      </c>
      <c r="M61" t="e">
        <f t="shared" si="4"/>
        <v>#DIV/0!</v>
      </c>
    </row>
    <row r="62" spans="1:13" x14ac:dyDescent="0.2">
      <c r="A62" s="1">
        <v>46170</v>
      </c>
      <c r="B62" t="s">
        <v>154</v>
      </c>
      <c r="C62" t="s">
        <v>47</v>
      </c>
      <c r="D62" t="s">
        <v>97</v>
      </c>
      <c r="E62">
        <v>1</v>
      </c>
      <c r="F62">
        <v>23000</v>
      </c>
      <c r="G62">
        <v>23000</v>
      </c>
      <c r="H62">
        <v>30000</v>
      </c>
      <c r="I62" t="s">
        <v>155</v>
      </c>
      <c r="J62" t="s">
        <v>14</v>
      </c>
      <c r="K62">
        <f t="shared" si="3"/>
        <v>23000</v>
      </c>
      <c r="L62">
        <f>IF($D62="AUD",2,IF($D62="FV",1.5,0))</f>
        <v>0</v>
      </c>
      <c r="M62" t="e">
        <f t="shared" si="4"/>
        <v>#DIV/0!</v>
      </c>
    </row>
    <row r="63" spans="1:13" x14ac:dyDescent="0.2">
      <c r="A63" s="1">
        <v>46170</v>
      </c>
      <c r="B63" t="s">
        <v>156</v>
      </c>
      <c r="C63" t="s">
        <v>156</v>
      </c>
      <c r="D63" t="s">
        <v>97</v>
      </c>
      <c r="E63">
        <v>1.5</v>
      </c>
      <c r="F63">
        <v>29500</v>
      </c>
      <c r="G63">
        <v>29500</v>
      </c>
      <c r="H63">
        <v>90000</v>
      </c>
      <c r="I63" t="s">
        <v>157</v>
      </c>
      <c r="J63" t="s">
        <v>14</v>
      </c>
      <c r="K63">
        <f t="shared" si="3"/>
        <v>19666.666666666668</v>
      </c>
      <c r="L63">
        <v>1.5</v>
      </c>
      <c r="M63">
        <f t="shared" si="4"/>
        <v>13111.111111111111</v>
      </c>
    </row>
    <row r="64" spans="1:13" x14ac:dyDescent="0.2">
      <c r="A64" s="1">
        <v>46149</v>
      </c>
      <c r="B64" t="s">
        <v>160</v>
      </c>
      <c r="C64" t="s">
        <v>103</v>
      </c>
      <c r="D64" t="s">
        <v>97</v>
      </c>
      <c r="E64">
        <v>2</v>
      </c>
      <c r="H64">
        <v>30000</v>
      </c>
      <c r="I64" t="s">
        <v>161</v>
      </c>
      <c r="J64" t="s">
        <v>162</v>
      </c>
      <c r="K64">
        <f t="shared" si="3"/>
        <v>0</v>
      </c>
      <c r="L64">
        <v>0</v>
      </c>
      <c r="M64" t="e">
        <f t="shared" si="4"/>
        <v>#DIV/0!</v>
      </c>
    </row>
    <row r="65" spans="1:13" x14ac:dyDescent="0.2">
      <c r="A65" s="1">
        <v>46071</v>
      </c>
      <c r="B65" t="s">
        <v>168</v>
      </c>
      <c r="C65" t="s">
        <v>168</v>
      </c>
      <c r="H65">
        <v>20000</v>
      </c>
      <c r="I65" t="s">
        <v>169</v>
      </c>
      <c r="J65" t="s">
        <v>162</v>
      </c>
      <c r="K65" t="e">
        <f t="shared" si="3"/>
        <v>#DIV/0!</v>
      </c>
      <c r="L65">
        <f>IF($D65="AUD",2,IF($D65="FV",1.5,0))</f>
        <v>0</v>
      </c>
      <c r="M65" t="e">
        <f t="shared" si="4"/>
        <v>#DIV/0!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5BF6-308A-8446-8FE3-39C210EAA908}">
  <dimension ref="A1:Q104"/>
  <sheetViews>
    <sheetView tabSelected="1" topLeftCell="A26" zoomScale="120" zoomScaleNormal="120" workbookViewId="0">
      <selection activeCell="I38" sqref="I38"/>
    </sheetView>
  </sheetViews>
  <sheetFormatPr baseColWidth="10" defaultRowHeight="16" x14ac:dyDescent="0.2"/>
  <cols>
    <col min="1" max="1" width="33.1640625" bestFit="1" customWidth="1"/>
    <col min="2" max="2" width="11.1640625" bestFit="1" customWidth="1"/>
    <col min="3" max="3" width="20.33203125" style="4" customWidth="1"/>
    <col min="4" max="4" width="13.5" customWidth="1"/>
    <col min="8" max="8" width="19.33203125" bestFit="1" customWidth="1"/>
    <col min="9" max="9" width="19.83203125" bestFit="1" customWidth="1"/>
    <col min="10" max="10" width="13" bestFit="1" customWidth="1"/>
    <col min="11" max="11" width="14" bestFit="1" customWidth="1"/>
    <col min="12" max="12" width="25.33203125" bestFit="1" customWidth="1"/>
    <col min="13" max="13" width="14" bestFit="1" customWidth="1"/>
    <col min="14" max="14" width="18.83203125" bestFit="1" customWidth="1"/>
    <col min="15" max="16" width="13" bestFit="1" customWidth="1"/>
  </cols>
  <sheetData>
    <row r="1" spans="1:13" x14ac:dyDescent="0.2">
      <c r="A1" t="s">
        <v>237</v>
      </c>
      <c r="B1" t="s">
        <v>236</v>
      </c>
      <c r="C1" s="4" t="s">
        <v>235</v>
      </c>
      <c r="D1" t="s">
        <v>234</v>
      </c>
      <c r="E1" t="s">
        <v>238</v>
      </c>
      <c r="F1" t="s">
        <v>317</v>
      </c>
      <c r="L1" s="7" t="s">
        <v>281</v>
      </c>
      <c r="M1" s="8">
        <f>SUMIF(Table2[dep], "DELIVERY",Table2[weekly price])</f>
        <v>274576.03992751142</v>
      </c>
    </row>
    <row r="2" spans="1:13" x14ac:dyDescent="0.2">
      <c r="A2" s="2" t="s">
        <v>174</v>
      </c>
      <c r="B2" s="5">
        <v>201174.66</v>
      </c>
      <c r="C2" s="5">
        <v>0</v>
      </c>
      <c r="D2" s="3">
        <f t="shared" ref="D2:D33" si="0">C2/48</f>
        <v>0</v>
      </c>
      <c r="E2" t="s">
        <v>239</v>
      </c>
      <c r="L2" s="9" t="s">
        <v>282</v>
      </c>
      <c r="M2" s="10">
        <f>SUMIF(Table2[dep], "GENERAL",Table2[weekly price])</f>
        <v>32680.392500000002</v>
      </c>
    </row>
    <row r="3" spans="1:13" x14ac:dyDescent="0.2">
      <c r="A3" s="2" t="s">
        <v>178</v>
      </c>
      <c r="B3" s="5">
        <v>42867.12</v>
      </c>
      <c r="C3" s="5">
        <v>0</v>
      </c>
      <c r="D3" s="3">
        <f t="shared" si="0"/>
        <v>0</v>
      </c>
      <c r="E3" t="s">
        <v>239</v>
      </c>
      <c r="H3" t="s">
        <v>289</v>
      </c>
      <c r="I3" t="s">
        <v>290</v>
      </c>
      <c r="L3" s="9"/>
      <c r="M3" s="10"/>
    </row>
    <row r="4" spans="1:13" x14ac:dyDescent="0.2">
      <c r="A4" s="2" t="s">
        <v>181</v>
      </c>
      <c r="B4" s="5">
        <v>335667.12</v>
      </c>
      <c r="C4" s="5">
        <v>0</v>
      </c>
      <c r="D4" s="3">
        <f t="shared" si="0"/>
        <v>0</v>
      </c>
      <c r="E4" t="s">
        <v>239</v>
      </c>
      <c r="H4" s="15">
        <f>SUMIF($E$2:$E104,"DELIVERY",$B$2:$B104)</f>
        <v>16513674.544876715</v>
      </c>
      <c r="I4" s="15">
        <f>SUMIF($E$2:$E104,"DELIVERY",$C$2:$C104)</f>
        <v>13179649.916520549</v>
      </c>
      <c r="L4" s="9" t="s">
        <v>283</v>
      </c>
      <c r="M4" s="10">
        <f>$M2+$M1</f>
        <v>307256.43242751143</v>
      </c>
    </row>
    <row r="5" spans="1:13" x14ac:dyDescent="0.2">
      <c r="A5" s="2" t="s">
        <v>182</v>
      </c>
      <c r="B5" s="5">
        <v>315331.38</v>
      </c>
      <c r="C5" s="5">
        <v>0</v>
      </c>
      <c r="D5" s="3">
        <f t="shared" si="0"/>
        <v>0</v>
      </c>
      <c r="E5" t="s">
        <v>239</v>
      </c>
      <c r="L5" s="9"/>
      <c r="M5" s="10"/>
    </row>
    <row r="6" spans="1:13" x14ac:dyDescent="0.2">
      <c r="A6" s="2" t="s">
        <v>183</v>
      </c>
      <c r="B6" s="5">
        <v>285780.82</v>
      </c>
      <c r="C6" s="5">
        <v>0</v>
      </c>
      <c r="D6" s="3">
        <f t="shared" si="0"/>
        <v>0</v>
      </c>
      <c r="E6" t="s">
        <v>239</v>
      </c>
      <c r="L6" s="9"/>
      <c r="M6" s="10"/>
    </row>
    <row r="7" spans="1:13" ht="17" thickBot="1" x14ac:dyDescent="0.25">
      <c r="A7" s="2" t="s">
        <v>185</v>
      </c>
      <c r="B7" s="5">
        <v>205561.64</v>
      </c>
      <c r="C7" s="5">
        <v>0</v>
      </c>
      <c r="D7" s="3">
        <f t="shared" si="0"/>
        <v>0</v>
      </c>
      <c r="E7" t="s">
        <v>239</v>
      </c>
      <c r="H7" t="s">
        <v>291</v>
      </c>
      <c r="I7" t="s">
        <v>292</v>
      </c>
      <c r="L7" s="11" t="s">
        <v>284</v>
      </c>
      <c r="M7" s="12">
        <f>SUM(Table1[normalized_usd])/23</f>
        <v>227886.95652173914</v>
      </c>
    </row>
    <row r="8" spans="1:13" x14ac:dyDescent="0.2">
      <c r="A8" s="2" t="s">
        <v>186</v>
      </c>
      <c r="B8" s="5">
        <v>170465.75</v>
      </c>
      <c r="C8" s="5">
        <v>0</v>
      </c>
      <c r="D8" s="3">
        <f t="shared" si="0"/>
        <v>0</v>
      </c>
      <c r="E8" t="s">
        <v>239</v>
      </c>
      <c r="H8" s="15">
        <f>SUMIF($E2:$E109,"RND",$B2:$B109)</f>
        <v>3769811.41</v>
      </c>
      <c r="I8" s="15">
        <f>SUMIF($E2:$E109,"RND",$C2:$C109)</f>
        <v>2685578.44</v>
      </c>
    </row>
    <row r="9" spans="1:13" x14ac:dyDescent="0.2">
      <c r="A9" s="2" t="s">
        <v>191</v>
      </c>
      <c r="B9" s="5">
        <v>236897.26</v>
      </c>
      <c r="C9" s="5">
        <v>0</v>
      </c>
      <c r="D9" s="3">
        <f t="shared" si="0"/>
        <v>0</v>
      </c>
      <c r="E9" t="s">
        <v>239</v>
      </c>
    </row>
    <row r="10" spans="1:13" x14ac:dyDescent="0.2">
      <c r="A10" s="2" t="s">
        <v>196</v>
      </c>
      <c r="B10" s="5">
        <v>210270.94</v>
      </c>
      <c r="C10" s="5">
        <v>0</v>
      </c>
      <c r="D10" s="3">
        <f t="shared" si="0"/>
        <v>0</v>
      </c>
      <c r="E10" t="s">
        <v>239</v>
      </c>
    </row>
    <row r="11" spans="1:13" x14ac:dyDescent="0.2">
      <c r="A11" s="2" t="s">
        <v>200</v>
      </c>
      <c r="B11" s="5">
        <v>111154.68</v>
      </c>
      <c r="C11" s="5">
        <v>0</v>
      </c>
      <c r="D11" s="3">
        <f t="shared" si="0"/>
        <v>0</v>
      </c>
      <c r="E11" t="s">
        <v>239</v>
      </c>
      <c r="H11" t="s">
        <v>293</v>
      </c>
      <c r="I11" t="s">
        <v>294</v>
      </c>
    </row>
    <row r="12" spans="1:13" ht="17" thickBot="1" x14ac:dyDescent="0.25">
      <c r="A12" s="2" t="s">
        <v>232</v>
      </c>
      <c r="B12" s="5">
        <v>265726.03000000003</v>
      </c>
      <c r="C12" s="5">
        <v>0</v>
      </c>
      <c r="D12" s="3">
        <f t="shared" si="0"/>
        <v>0</v>
      </c>
      <c r="E12" t="s">
        <v>239</v>
      </c>
      <c r="H12" s="15">
        <f>SUMIF($E$2:$E112,"GENERAL",$B$2:$B112)</f>
        <v>2255332.8099999996</v>
      </c>
      <c r="I12" s="15">
        <f>SUMIF($E$2:$E112,"GENERAL",$C$2:$C112)</f>
        <v>1568658.84</v>
      </c>
    </row>
    <row r="13" spans="1:13" ht="17" thickBot="1" x14ac:dyDescent="0.25">
      <c r="A13" s="2" t="s">
        <v>209</v>
      </c>
      <c r="B13" s="5">
        <v>250684.93</v>
      </c>
      <c r="C13" s="5">
        <v>0</v>
      </c>
      <c r="D13" s="3">
        <f t="shared" si="0"/>
        <v>0</v>
      </c>
      <c r="E13" t="s">
        <v>239</v>
      </c>
      <c r="L13" s="13" t="s">
        <v>285</v>
      </c>
      <c r="M13" s="14">
        <f>SUMIF(Table2[dep], "RND",Table2[weekly price])</f>
        <v>55949.550833333335</v>
      </c>
    </row>
    <row r="14" spans="1:13" x14ac:dyDescent="0.2">
      <c r="A14" s="2" t="s">
        <v>229</v>
      </c>
      <c r="B14" s="5">
        <v>135369.85999999999</v>
      </c>
      <c r="C14" s="5">
        <v>0</v>
      </c>
      <c r="D14" s="3">
        <f t="shared" si="0"/>
        <v>0</v>
      </c>
      <c r="E14" t="s">
        <v>239</v>
      </c>
    </row>
    <row r="15" spans="1:13" x14ac:dyDescent="0.2">
      <c r="A15" s="2" t="s">
        <v>241</v>
      </c>
      <c r="B15" s="5">
        <v>230000</v>
      </c>
      <c r="C15" s="5">
        <v>0</v>
      </c>
      <c r="D15" s="3">
        <f t="shared" si="0"/>
        <v>0</v>
      </c>
      <c r="E15" t="s">
        <v>239</v>
      </c>
      <c r="H15" t="s">
        <v>295</v>
      </c>
      <c r="J15" t="s">
        <v>297</v>
      </c>
    </row>
    <row r="16" spans="1:13" x14ac:dyDescent="0.2">
      <c r="A16" s="2" t="s">
        <v>243</v>
      </c>
      <c r="B16" s="5">
        <v>60456</v>
      </c>
      <c r="C16" s="5">
        <v>0</v>
      </c>
      <c r="D16" s="3">
        <f t="shared" si="0"/>
        <v>0</v>
      </c>
      <c r="E16" t="s">
        <v>239</v>
      </c>
      <c r="H16" s="16">
        <f>$H$4+$H$8+$H$12</f>
        <v>22538818.764876712</v>
      </c>
      <c r="I16" s="16">
        <f>$I$4+$I$8+$I$12</f>
        <v>17433887.196520548</v>
      </c>
      <c r="J16" s="16">
        <f>$I16/12</f>
        <v>1452823.9330433791</v>
      </c>
      <c r="L16" s="15"/>
    </row>
    <row r="17" spans="1:17" x14ac:dyDescent="0.2">
      <c r="A17" s="2" t="s">
        <v>245</v>
      </c>
      <c r="B17" s="5">
        <v>231000</v>
      </c>
      <c r="C17" s="5">
        <v>0</v>
      </c>
      <c r="D17" s="3">
        <f t="shared" si="0"/>
        <v>0</v>
      </c>
      <c r="E17" t="s">
        <v>239</v>
      </c>
    </row>
    <row r="18" spans="1:17" x14ac:dyDescent="0.2">
      <c r="A18" s="2" t="s">
        <v>246</v>
      </c>
      <c r="B18" s="5">
        <v>366000</v>
      </c>
      <c r="C18" s="5">
        <v>0</v>
      </c>
      <c r="D18" s="3">
        <f t="shared" si="0"/>
        <v>0</v>
      </c>
      <c r="E18" t="s">
        <v>257</v>
      </c>
      <c r="H18" t="s">
        <v>296</v>
      </c>
      <c r="I18" s="16">
        <f>$H16-$I16</f>
        <v>5104931.5683561638</v>
      </c>
    </row>
    <row r="19" spans="1:17" ht="17" thickBot="1" x14ac:dyDescent="0.25">
      <c r="A19" s="2" t="s">
        <v>247</v>
      </c>
      <c r="B19" s="5">
        <v>220400</v>
      </c>
      <c r="C19" s="5">
        <v>0</v>
      </c>
      <c r="D19" s="3">
        <f t="shared" si="0"/>
        <v>0</v>
      </c>
      <c r="E19" t="s">
        <v>257</v>
      </c>
    </row>
    <row r="20" spans="1:17" x14ac:dyDescent="0.2">
      <c r="A20" s="2" t="s">
        <v>253</v>
      </c>
      <c r="B20" s="5">
        <v>100273.97</v>
      </c>
      <c r="C20" s="5">
        <v>0</v>
      </c>
      <c r="D20" s="3">
        <f t="shared" si="0"/>
        <v>0</v>
      </c>
      <c r="E20" t="s">
        <v>257</v>
      </c>
      <c r="H20" t="s">
        <v>298</v>
      </c>
      <c r="K20" s="7" t="s">
        <v>311</v>
      </c>
      <c r="L20" s="17"/>
      <c r="M20" s="17"/>
      <c r="N20" s="17"/>
      <c r="O20" s="17"/>
      <c r="P20" s="17"/>
      <c r="Q20" s="8"/>
    </row>
    <row r="21" spans="1:17" x14ac:dyDescent="0.2">
      <c r="A21" s="2" t="s">
        <v>263</v>
      </c>
      <c r="B21" s="5">
        <v>248625</v>
      </c>
      <c r="C21" s="5">
        <v>0</v>
      </c>
      <c r="D21" s="3">
        <f t="shared" si="0"/>
        <v>0</v>
      </c>
      <c r="E21" t="s">
        <v>274</v>
      </c>
      <c r="H21" t="s">
        <v>299</v>
      </c>
      <c r="I21" t="s">
        <v>300</v>
      </c>
      <c r="K21" s="9" t="s">
        <v>299</v>
      </c>
      <c r="L21" t="s">
        <v>300</v>
      </c>
      <c r="M21" s="18" t="s">
        <v>312</v>
      </c>
      <c r="Q21" s="10"/>
    </row>
    <row r="22" spans="1:17" x14ac:dyDescent="0.2">
      <c r="A22" s="2" t="s">
        <v>264</v>
      </c>
      <c r="B22" s="5">
        <v>235878.86</v>
      </c>
      <c r="C22" s="5">
        <v>0</v>
      </c>
      <c r="D22" s="3">
        <f t="shared" si="0"/>
        <v>0</v>
      </c>
      <c r="E22" t="s">
        <v>274</v>
      </c>
      <c r="H22" s="16">
        <v>24000000</v>
      </c>
      <c r="I22" s="16">
        <v>5000000</v>
      </c>
      <c r="K22" s="19">
        <f>$I$16</f>
        <v>17433887.196520548</v>
      </c>
      <c r="L22" s="16">
        <f>$I22-SUM($I25:I40)</f>
        <v>3455100</v>
      </c>
      <c r="M22" s="20">
        <f>($K22+$L22)/12</f>
        <v>1740748.9330433791</v>
      </c>
      <c r="Q22" s="10"/>
    </row>
    <row r="23" spans="1:17" x14ac:dyDescent="0.2">
      <c r="A23" s="2" t="s">
        <v>265</v>
      </c>
      <c r="B23" s="5">
        <v>167428.79999999999</v>
      </c>
      <c r="C23" s="5">
        <v>0</v>
      </c>
      <c r="D23" s="3">
        <f t="shared" si="0"/>
        <v>0</v>
      </c>
      <c r="E23" t="s">
        <v>274</v>
      </c>
      <c r="K23" s="9"/>
      <c r="Q23" s="10"/>
    </row>
    <row r="24" spans="1:17" x14ac:dyDescent="0.2">
      <c r="A24" s="2" t="s">
        <v>271</v>
      </c>
      <c r="B24" s="5">
        <v>363220</v>
      </c>
      <c r="C24" s="5">
        <v>0</v>
      </c>
      <c r="D24" s="3">
        <f t="shared" si="0"/>
        <v>0</v>
      </c>
      <c r="E24" t="s">
        <v>274</v>
      </c>
      <c r="H24" t="s">
        <v>310</v>
      </c>
      <c r="K24" s="9"/>
      <c r="M24" t="s">
        <v>319</v>
      </c>
      <c r="N24" t="s">
        <v>320</v>
      </c>
      <c r="O24" t="s">
        <v>321</v>
      </c>
      <c r="Q24" s="10"/>
    </row>
    <row r="25" spans="1:17" x14ac:dyDescent="0.2">
      <c r="A25" s="2" t="s">
        <v>250</v>
      </c>
      <c r="B25" s="5"/>
      <c r="C25" s="5"/>
      <c r="D25" s="3">
        <f t="shared" si="0"/>
        <v>0</v>
      </c>
      <c r="E25" t="s">
        <v>257</v>
      </c>
      <c r="H25" t="s">
        <v>301</v>
      </c>
      <c r="I25" s="16">
        <v>100000</v>
      </c>
      <c r="K25" s="9"/>
      <c r="Q25" s="10"/>
    </row>
    <row r="26" spans="1:17" x14ac:dyDescent="0.2">
      <c r="A26" s="2" t="s">
        <v>278</v>
      </c>
      <c r="B26" s="5">
        <v>53200</v>
      </c>
      <c r="C26" s="5">
        <v>53200</v>
      </c>
      <c r="D26" s="3">
        <f t="shared" si="0"/>
        <v>1108.3333333333333</v>
      </c>
      <c r="E26" t="s">
        <v>239</v>
      </c>
      <c r="H26" t="s">
        <v>302</v>
      </c>
      <c r="I26" s="16">
        <v>120000</v>
      </c>
      <c r="K26" s="9" t="s">
        <v>314</v>
      </c>
      <c r="M26" t="s">
        <v>323</v>
      </c>
      <c r="P26" s="21" t="s">
        <v>322</v>
      </c>
      <c r="Q26" s="10"/>
    </row>
    <row r="27" spans="1:17" x14ac:dyDescent="0.2">
      <c r="A27" s="2" t="s">
        <v>242</v>
      </c>
      <c r="B27" s="5">
        <v>64000</v>
      </c>
      <c r="C27" s="5">
        <v>64000</v>
      </c>
      <c r="D27" s="3">
        <f t="shared" si="0"/>
        <v>1333.3333333333333</v>
      </c>
      <c r="E27" t="s">
        <v>239</v>
      </c>
      <c r="H27" t="s">
        <v>303</v>
      </c>
      <c r="I27" s="16"/>
      <c r="K27" s="9" t="s">
        <v>315</v>
      </c>
      <c r="L27">
        <f>COUNTIFS($F2:$F107,"SR",$C2:$C107,"&gt;0")</f>
        <v>34</v>
      </c>
      <c r="M27" s="22">
        <v>12000</v>
      </c>
      <c r="N27" s="22">
        <f>$L27*$M27</f>
        <v>408000</v>
      </c>
      <c r="O27" s="22">
        <f>4*$N27</f>
        <v>1632000</v>
      </c>
      <c r="P27" s="16">
        <f>$O27*0.8</f>
        <v>1305600</v>
      </c>
      <c r="Q27" s="10"/>
    </row>
    <row r="28" spans="1:17" x14ac:dyDescent="0.2">
      <c r="A28" s="2" t="s">
        <v>248</v>
      </c>
      <c r="B28" s="5">
        <v>74400</v>
      </c>
      <c r="C28" s="5">
        <v>74400</v>
      </c>
      <c r="D28" s="3">
        <f t="shared" si="0"/>
        <v>1550</v>
      </c>
      <c r="E28" t="s">
        <v>257</v>
      </c>
      <c r="H28" t="s">
        <v>304</v>
      </c>
      <c r="I28" s="16">
        <v>300000</v>
      </c>
      <c r="K28" s="9" t="s">
        <v>316</v>
      </c>
      <c r="L28">
        <f>COUNTIFS($F2:$F108,"FV",$C2:$C108,"&gt;0")</f>
        <v>8</v>
      </c>
      <c r="M28" s="22">
        <v>12000</v>
      </c>
      <c r="N28" s="22">
        <f>$L28*$M28</f>
        <v>96000</v>
      </c>
      <c r="O28" s="22">
        <f>4*$N28</f>
        <v>384000</v>
      </c>
      <c r="Q28" s="10"/>
    </row>
    <row r="29" spans="1:17" x14ac:dyDescent="0.2">
      <c r="A29" s="2" t="s">
        <v>244</v>
      </c>
      <c r="B29" s="5">
        <v>101790</v>
      </c>
      <c r="C29" s="5">
        <v>101790</v>
      </c>
      <c r="D29" s="3">
        <f t="shared" si="0"/>
        <v>2120.625</v>
      </c>
      <c r="E29" t="s">
        <v>239</v>
      </c>
      <c r="H29" t="s">
        <v>305</v>
      </c>
      <c r="I29" s="16">
        <v>240000</v>
      </c>
      <c r="K29" s="9"/>
      <c r="Q29" s="10"/>
    </row>
    <row r="30" spans="1:17" x14ac:dyDescent="0.2">
      <c r="A30" s="2" t="s">
        <v>252</v>
      </c>
      <c r="B30" s="5">
        <v>105287.67</v>
      </c>
      <c r="C30" s="5">
        <v>105287.67</v>
      </c>
      <c r="D30" s="3">
        <f t="shared" si="0"/>
        <v>2193.493125</v>
      </c>
      <c r="E30" t="s">
        <v>257</v>
      </c>
      <c r="H30" t="s">
        <v>306</v>
      </c>
      <c r="I30" s="16">
        <v>360000</v>
      </c>
      <c r="K30" s="9"/>
      <c r="O30" s="22">
        <f>$O27+$O28</f>
        <v>2016000</v>
      </c>
      <c r="P30" s="16">
        <f>$P27+$O28</f>
        <v>1689600</v>
      </c>
      <c r="Q30" s="10"/>
    </row>
    <row r="31" spans="1:17" x14ac:dyDescent="0.2">
      <c r="A31" s="2" t="s">
        <v>177</v>
      </c>
      <c r="B31" s="5">
        <v>110301.37</v>
      </c>
      <c r="C31" s="5">
        <v>110301.37</v>
      </c>
      <c r="D31" s="3">
        <f t="shared" si="0"/>
        <v>2297.9452083333331</v>
      </c>
      <c r="E31" t="s">
        <v>239</v>
      </c>
      <c r="H31" t="s">
        <v>307</v>
      </c>
      <c r="I31" s="16">
        <v>194000</v>
      </c>
      <c r="K31" s="9" t="s">
        <v>324</v>
      </c>
      <c r="L31" t="s">
        <v>325</v>
      </c>
      <c r="M31" s="18" t="s">
        <v>312</v>
      </c>
      <c r="Q31" s="10"/>
    </row>
    <row r="32" spans="1:17" x14ac:dyDescent="0.2">
      <c r="A32" s="2" t="s">
        <v>188</v>
      </c>
      <c r="B32" s="5">
        <v>110301.37</v>
      </c>
      <c r="C32" s="5">
        <v>110301.37</v>
      </c>
      <c r="D32" s="3">
        <f t="shared" si="0"/>
        <v>2297.9452083333331</v>
      </c>
      <c r="E32" t="s">
        <v>239</v>
      </c>
      <c r="H32" t="s">
        <v>308</v>
      </c>
      <c r="I32" s="16">
        <v>190500</v>
      </c>
      <c r="K32" s="23">
        <f>SUMIF($E$2:$E132,"DELIVERY",$C$2:$C132)</f>
        <v>13179649.916520549</v>
      </c>
      <c r="L32" s="16">
        <f>$K32/I16*$L22</f>
        <v>2611982.5093085617</v>
      </c>
      <c r="M32" s="20">
        <f>($K32+$L32)/12</f>
        <v>1315969.3688190926</v>
      </c>
      <c r="Q32" s="10"/>
    </row>
    <row r="33" spans="1:17" x14ac:dyDescent="0.2">
      <c r="A33" s="2" t="s">
        <v>187</v>
      </c>
      <c r="B33" s="5">
        <v>110501.92</v>
      </c>
      <c r="C33" s="5">
        <v>110501.92</v>
      </c>
      <c r="D33" s="3">
        <f t="shared" si="0"/>
        <v>2302.1233333333334</v>
      </c>
      <c r="E33" t="s">
        <v>239</v>
      </c>
      <c r="H33" t="s">
        <v>309</v>
      </c>
      <c r="I33" s="16">
        <v>36000</v>
      </c>
      <c r="K33" s="9"/>
      <c r="Q33" s="10"/>
    </row>
    <row r="34" spans="1:17" x14ac:dyDescent="0.2">
      <c r="A34" s="2" t="s">
        <v>256</v>
      </c>
      <c r="B34" s="5">
        <v>112106.3</v>
      </c>
      <c r="C34" s="5">
        <v>112106.3</v>
      </c>
      <c r="D34" s="3">
        <f t="shared" ref="D34:D65" si="1">C34/48</f>
        <v>2335.5479166666669</v>
      </c>
      <c r="E34" t="s">
        <v>257</v>
      </c>
      <c r="H34" t="s">
        <v>313</v>
      </c>
      <c r="I34" s="16">
        <f>11*1200/3</f>
        <v>4400</v>
      </c>
      <c r="K34" s="9" t="s">
        <v>326</v>
      </c>
      <c r="L34" t="s">
        <v>327</v>
      </c>
      <c r="Q34" s="10"/>
    </row>
    <row r="35" spans="1:17" x14ac:dyDescent="0.2">
      <c r="A35" s="2" t="s">
        <v>272</v>
      </c>
      <c r="B35" s="5">
        <v>113482.73</v>
      </c>
      <c r="C35" s="5">
        <v>113482.73</v>
      </c>
      <c r="D35" s="3">
        <f t="shared" si="1"/>
        <v>2364.2235416666667</v>
      </c>
      <c r="E35" t="s">
        <v>274</v>
      </c>
      <c r="K35" s="23">
        <f>(SUMIF($F2:$F104,"SR", $C2:$C104)+SUMIF($F2:$F104,"FV", $C2:$C104))/($L27+$L28)</f>
        <v>226808.59642857144</v>
      </c>
      <c r="L35" s="16">
        <f>$K35/48</f>
        <v>4725.1790922619048</v>
      </c>
      <c r="Q35" s="10"/>
    </row>
    <row r="36" spans="1:17" x14ac:dyDescent="0.2">
      <c r="A36" s="2" t="s">
        <v>210</v>
      </c>
      <c r="B36" s="5">
        <v>120000</v>
      </c>
      <c r="C36" s="5">
        <v>120000</v>
      </c>
      <c r="D36" s="3">
        <f t="shared" si="1"/>
        <v>2500</v>
      </c>
      <c r="E36" t="s">
        <v>239</v>
      </c>
      <c r="F36" t="s">
        <v>318</v>
      </c>
      <c r="K36" s="9"/>
      <c r="Q36" s="10"/>
    </row>
    <row r="37" spans="1:17" x14ac:dyDescent="0.2">
      <c r="A37" s="2" t="s">
        <v>249</v>
      </c>
      <c r="B37" s="5">
        <v>120000</v>
      </c>
      <c r="C37" s="5">
        <v>120000</v>
      </c>
      <c r="D37" s="3">
        <f t="shared" si="1"/>
        <v>2500</v>
      </c>
      <c r="E37" t="s">
        <v>257</v>
      </c>
      <c r="K37" s="9" t="s">
        <v>328</v>
      </c>
      <c r="Q37" s="10"/>
    </row>
    <row r="38" spans="1:17" x14ac:dyDescent="0.2">
      <c r="A38" s="2" t="s">
        <v>251</v>
      </c>
      <c r="B38" s="5">
        <v>130356.16</v>
      </c>
      <c r="C38" s="5">
        <v>130356.16</v>
      </c>
      <c r="D38" s="3">
        <f t="shared" si="1"/>
        <v>2715.7533333333336</v>
      </c>
      <c r="E38" t="s">
        <v>257</v>
      </c>
      <c r="K38" s="23">
        <f>(SUMIFS($C2:$C107,$F2:$F107,"",$E2:$E107,"DELIVERY")/COUNTIFS($F2:$F107,"",$E2:$E107,"DELIVERY"))</f>
        <v>104391.11047201566</v>
      </c>
      <c r="L38" s="16"/>
      <c r="Q38" s="10"/>
    </row>
    <row r="39" spans="1:17" x14ac:dyDescent="0.2">
      <c r="A39" s="2" t="s">
        <v>199</v>
      </c>
      <c r="B39" s="5">
        <v>130403.52</v>
      </c>
      <c r="C39" s="5">
        <v>130403.52</v>
      </c>
      <c r="D39" s="3">
        <f t="shared" si="1"/>
        <v>2716.7400000000002</v>
      </c>
      <c r="E39" t="s">
        <v>239</v>
      </c>
      <c r="F39" t="s">
        <v>28</v>
      </c>
      <c r="K39" s="9"/>
      <c r="Q39" s="10"/>
    </row>
    <row r="40" spans="1:17" x14ac:dyDescent="0.2">
      <c r="A40" s="2" t="s">
        <v>279</v>
      </c>
      <c r="B40" s="5">
        <v>141000</v>
      </c>
      <c r="C40" s="5">
        <v>141000</v>
      </c>
      <c r="D40" s="3">
        <f t="shared" si="1"/>
        <v>2937.5</v>
      </c>
      <c r="E40" t="s">
        <v>239</v>
      </c>
      <c r="K40" s="9" t="s">
        <v>329</v>
      </c>
      <c r="Q40" s="10"/>
    </row>
    <row r="41" spans="1:17" x14ac:dyDescent="0.2">
      <c r="A41" s="2" t="s">
        <v>258</v>
      </c>
      <c r="B41" s="5">
        <v>148824</v>
      </c>
      <c r="C41" s="5">
        <v>148824</v>
      </c>
      <c r="D41" s="3">
        <f t="shared" si="1"/>
        <v>3100.5</v>
      </c>
      <c r="E41" t="s">
        <v>257</v>
      </c>
      <c r="K41" s="23">
        <f>SUMIF($E2:$E110,"GENERAL",$C2:$C110)/COUNTIF($E2:$E110,"GENERAL")</f>
        <v>120666.06461538462</v>
      </c>
      <c r="N41" s="18" t="s">
        <v>333</v>
      </c>
      <c r="O41" s="24" t="s">
        <v>336</v>
      </c>
      <c r="Q41" s="10"/>
    </row>
    <row r="42" spans="1:17" x14ac:dyDescent="0.2">
      <c r="A42" s="2" t="s">
        <v>204</v>
      </c>
      <c r="B42" s="5">
        <v>150000</v>
      </c>
      <c r="C42" s="5">
        <v>150000</v>
      </c>
      <c r="D42" s="3">
        <f t="shared" si="1"/>
        <v>3125</v>
      </c>
      <c r="E42" t="s">
        <v>239</v>
      </c>
      <c r="F42" t="s">
        <v>318</v>
      </c>
      <c r="K42" s="9"/>
      <c r="N42" s="29">
        <v>10000</v>
      </c>
      <c r="O42" s="25"/>
      <c r="Q42" s="10"/>
    </row>
    <row r="43" spans="1:17" x14ac:dyDescent="0.2">
      <c r="A43" s="2" t="s">
        <v>198</v>
      </c>
      <c r="B43" s="5">
        <v>150491.39000000001</v>
      </c>
      <c r="C43" s="5">
        <v>150491.39000000001</v>
      </c>
      <c r="D43" s="3">
        <f t="shared" si="1"/>
        <v>3135.2372916666668</v>
      </c>
      <c r="E43" t="s">
        <v>239</v>
      </c>
      <c r="F43" t="s">
        <v>28</v>
      </c>
      <c r="K43" s="9" t="s">
        <v>330</v>
      </c>
      <c r="N43" t="s">
        <v>332</v>
      </c>
      <c r="O43" s="18" t="s">
        <v>334</v>
      </c>
      <c r="Q43" s="10"/>
    </row>
    <row r="44" spans="1:17" x14ac:dyDescent="0.2">
      <c r="A44" s="2" t="s">
        <v>176</v>
      </c>
      <c r="B44" s="5">
        <v>174161.34</v>
      </c>
      <c r="C44" s="5">
        <v>174161.34</v>
      </c>
      <c r="D44" s="3">
        <f t="shared" si="1"/>
        <v>3628.3612499999999</v>
      </c>
      <c r="E44" t="s">
        <v>239</v>
      </c>
      <c r="K44" s="23">
        <f>SUMIF($F2:$F113,"SR",$C2:$C113)+SUMIF($F2:$F113,"FV",$C2:$C113)</f>
        <v>9525961.0500000007</v>
      </c>
      <c r="L44" s="16">
        <f>$K44/48</f>
        <v>198457.52187500001</v>
      </c>
      <c r="N44" s="16">
        <f>$N42-$L35</f>
        <v>5274.8209077380952</v>
      </c>
      <c r="O44" s="18">
        <f>_xlfn.CEILING.MATH($L46/$N44)</f>
        <v>21</v>
      </c>
      <c r="Q44" s="10"/>
    </row>
    <row r="45" spans="1:17" x14ac:dyDescent="0.2">
      <c r="A45" s="2" t="s">
        <v>206</v>
      </c>
      <c r="B45" s="6">
        <v>180000</v>
      </c>
      <c r="C45" s="5">
        <v>180000</v>
      </c>
      <c r="D45" s="3">
        <f t="shared" si="1"/>
        <v>3750</v>
      </c>
      <c r="E45" t="s">
        <v>239</v>
      </c>
      <c r="F45" t="s">
        <v>318</v>
      </c>
      <c r="K45" s="9" t="s">
        <v>331</v>
      </c>
      <c r="O45" s="18"/>
      <c r="Q45" s="10"/>
    </row>
    <row r="46" spans="1:17" x14ac:dyDescent="0.2">
      <c r="A46" s="2" t="s">
        <v>277</v>
      </c>
      <c r="B46" s="5">
        <v>225616.43835616438</v>
      </c>
      <c r="C46" s="5">
        <v>180000</v>
      </c>
      <c r="D46" s="3">
        <f t="shared" si="1"/>
        <v>3750</v>
      </c>
      <c r="E46" t="s">
        <v>239</v>
      </c>
      <c r="K46" s="19">
        <f>$I$4-$K$44+$I$12</f>
        <v>5222347.7065205481</v>
      </c>
      <c r="L46" s="16">
        <f>$K46/48</f>
        <v>108798.91055251141</v>
      </c>
      <c r="O46" s="18" t="s">
        <v>335</v>
      </c>
      <c r="Q46" s="10"/>
    </row>
    <row r="47" spans="1:17" x14ac:dyDescent="0.2">
      <c r="A47" s="2" t="s">
        <v>227</v>
      </c>
      <c r="B47" s="5">
        <v>185328</v>
      </c>
      <c r="C47" s="5">
        <v>185328</v>
      </c>
      <c r="D47" s="3">
        <f t="shared" si="1"/>
        <v>3861</v>
      </c>
      <c r="E47" t="s">
        <v>239</v>
      </c>
      <c r="F47" t="s">
        <v>318</v>
      </c>
      <c r="K47" s="9"/>
      <c r="O47" s="20">
        <f>_xlfn.CEILING.MATH(($I16-K44)/48/$N44)</f>
        <v>32</v>
      </c>
      <c r="P47" s="18" t="s">
        <v>347</v>
      </c>
      <c r="Q47" s="10"/>
    </row>
    <row r="48" spans="1:17" ht="17" thickBot="1" x14ac:dyDescent="0.25">
      <c r="A48" s="2" t="s">
        <v>275</v>
      </c>
      <c r="B48" s="5">
        <v>188201.71232876711</v>
      </c>
      <c r="C48" s="5">
        <v>188201.71232876711</v>
      </c>
      <c r="D48" s="3">
        <f t="shared" si="1"/>
        <v>3920.8690068493147</v>
      </c>
      <c r="E48" t="s">
        <v>239</v>
      </c>
      <c r="K48" s="11"/>
      <c r="L48" s="26"/>
      <c r="M48" s="26"/>
      <c r="N48" s="26"/>
      <c r="O48" s="26"/>
      <c r="P48" s="26"/>
      <c r="Q48" s="12"/>
    </row>
    <row r="49" spans="1:15" x14ac:dyDescent="0.2">
      <c r="A49" s="2" t="s">
        <v>205</v>
      </c>
      <c r="B49" s="5">
        <v>190000</v>
      </c>
      <c r="C49" s="5">
        <v>190000</v>
      </c>
      <c r="D49" s="3">
        <f t="shared" si="1"/>
        <v>3958.3333333333335</v>
      </c>
      <c r="E49" t="s">
        <v>239</v>
      </c>
      <c r="F49" t="s">
        <v>318</v>
      </c>
    </row>
    <row r="50" spans="1:15" x14ac:dyDescent="0.2">
      <c r="A50" s="2" t="s">
        <v>276</v>
      </c>
      <c r="B50" s="5">
        <v>194406.73200000002</v>
      </c>
      <c r="C50" s="5">
        <v>194406.73200000002</v>
      </c>
      <c r="D50" s="3">
        <f t="shared" si="1"/>
        <v>4050.1402500000004</v>
      </c>
      <c r="E50" t="s">
        <v>239</v>
      </c>
    </row>
    <row r="51" spans="1:15" x14ac:dyDescent="0.2">
      <c r="A51" s="2" t="s">
        <v>214</v>
      </c>
      <c r="B51" s="5">
        <v>195000</v>
      </c>
      <c r="C51" s="5">
        <v>195000</v>
      </c>
      <c r="D51" s="3">
        <f t="shared" si="1"/>
        <v>4062.5</v>
      </c>
      <c r="E51" t="s">
        <v>239</v>
      </c>
      <c r="F51" t="s">
        <v>318</v>
      </c>
    </row>
    <row r="52" spans="1:15" x14ac:dyDescent="0.2">
      <c r="A52" s="2" t="s">
        <v>218</v>
      </c>
      <c r="B52" s="5">
        <v>195000</v>
      </c>
      <c r="C52" s="5">
        <v>195000</v>
      </c>
      <c r="D52" s="3">
        <f t="shared" si="1"/>
        <v>4062.5</v>
      </c>
      <c r="E52" t="s">
        <v>239</v>
      </c>
      <c r="F52" t="s">
        <v>318</v>
      </c>
      <c r="K52" t="s">
        <v>337</v>
      </c>
    </row>
    <row r="53" spans="1:15" x14ac:dyDescent="0.2">
      <c r="A53" s="2" t="s">
        <v>221</v>
      </c>
      <c r="B53" s="5">
        <v>195000</v>
      </c>
      <c r="C53" s="5">
        <v>195000</v>
      </c>
      <c r="D53" s="3">
        <f t="shared" si="1"/>
        <v>4062.5</v>
      </c>
      <c r="E53" t="s">
        <v>239</v>
      </c>
      <c r="F53" t="s">
        <v>318</v>
      </c>
      <c r="K53" t="s">
        <v>338</v>
      </c>
      <c r="M53" t="s">
        <v>339</v>
      </c>
      <c r="N53" t="s">
        <v>343</v>
      </c>
    </row>
    <row r="54" spans="1:15" x14ac:dyDescent="0.2">
      <c r="A54" s="2" t="s">
        <v>207</v>
      </c>
      <c r="B54" s="5">
        <v>200000</v>
      </c>
      <c r="C54" s="5">
        <v>200000</v>
      </c>
      <c r="D54" s="3">
        <f t="shared" si="1"/>
        <v>4166.666666666667</v>
      </c>
      <c r="E54" t="s">
        <v>239</v>
      </c>
      <c r="F54" t="s">
        <v>318</v>
      </c>
      <c r="K54" s="16">
        <f>$K38/48 + $L35</f>
        <v>6899.993893762231</v>
      </c>
      <c r="M54" s="16">
        <f>$K54*1.3</f>
        <v>8969.9920618909</v>
      </c>
      <c r="N54" s="16">
        <f>$K54*1.4</f>
        <v>9659.9914512671221</v>
      </c>
    </row>
    <row r="55" spans="1:15" x14ac:dyDescent="0.2">
      <c r="A55" s="2" t="s">
        <v>175</v>
      </c>
      <c r="B55" s="5">
        <v>200547.95</v>
      </c>
      <c r="C55" s="5">
        <v>200547.95</v>
      </c>
      <c r="D55" s="3">
        <f t="shared" si="1"/>
        <v>4178.0822916666666</v>
      </c>
      <c r="E55" t="s">
        <v>239</v>
      </c>
      <c r="K55" s="16"/>
      <c r="M55" s="16">
        <f>$M54*1.2</f>
        <v>10763.99047426908</v>
      </c>
      <c r="N55" s="16">
        <f>$N54*1.2</f>
        <v>11591.989741520547</v>
      </c>
      <c r="O55" t="s">
        <v>344</v>
      </c>
    </row>
    <row r="56" spans="1:15" x14ac:dyDescent="0.2">
      <c r="A56" s="2" t="s">
        <v>197</v>
      </c>
      <c r="B56" s="5">
        <v>201193.2</v>
      </c>
      <c r="C56" s="5">
        <v>201193.2</v>
      </c>
      <c r="D56" s="3">
        <f t="shared" si="1"/>
        <v>4191.5250000000005</v>
      </c>
      <c r="E56" t="s">
        <v>239</v>
      </c>
      <c r="F56" t="s">
        <v>28</v>
      </c>
      <c r="N56" s="16"/>
    </row>
    <row r="57" spans="1:15" x14ac:dyDescent="0.2">
      <c r="A57" s="2" t="s">
        <v>189</v>
      </c>
      <c r="B57" s="5">
        <v>202252.24</v>
      </c>
      <c r="C57" s="5">
        <v>202252.24</v>
      </c>
      <c r="D57" s="3">
        <f t="shared" si="1"/>
        <v>4213.5883333333331</v>
      </c>
      <c r="E57" t="s">
        <v>239</v>
      </c>
      <c r="F57" t="s">
        <v>28</v>
      </c>
      <c r="K57" t="s">
        <v>345</v>
      </c>
      <c r="M57" s="27" t="s">
        <v>346</v>
      </c>
    </row>
    <row r="58" spans="1:15" x14ac:dyDescent="0.2">
      <c r="A58" s="2" t="s">
        <v>288</v>
      </c>
      <c r="B58" s="5">
        <v>207000</v>
      </c>
      <c r="C58" s="5">
        <v>207000</v>
      </c>
      <c r="D58" s="3">
        <f t="shared" si="1"/>
        <v>4312.5</v>
      </c>
      <c r="E58" t="s">
        <v>239</v>
      </c>
      <c r="F58" t="s">
        <v>318</v>
      </c>
      <c r="K58" t="s">
        <v>341</v>
      </c>
      <c r="M58">
        <v>15000</v>
      </c>
    </row>
    <row r="59" spans="1:15" x14ac:dyDescent="0.2">
      <c r="A59" s="2" t="s">
        <v>217</v>
      </c>
      <c r="B59" s="5">
        <v>210600</v>
      </c>
      <c r="C59" s="5">
        <v>210600</v>
      </c>
      <c r="D59" s="3">
        <f t="shared" si="1"/>
        <v>4387.5</v>
      </c>
      <c r="E59" t="s">
        <v>239</v>
      </c>
      <c r="F59" t="s">
        <v>318</v>
      </c>
      <c r="K59" t="s">
        <v>340</v>
      </c>
      <c r="M59">
        <v>12500</v>
      </c>
    </row>
    <row r="60" spans="1:15" x14ac:dyDescent="0.2">
      <c r="A60" s="2" t="s">
        <v>223</v>
      </c>
      <c r="B60" s="5">
        <v>210870</v>
      </c>
      <c r="C60" s="5">
        <v>210870</v>
      </c>
      <c r="D60" s="3">
        <f t="shared" si="1"/>
        <v>4393.125</v>
      </c>
      <c r="E60" t="s">
        <v>239</v>
      </c>
      <c r="F60" t="s">
        <v>318</v>
      </c>
      <c r="K60" t="s">
        <v>342</v>
      </c>
      <c r="M60">
        <v>10000</v>
      </c>
    </row>
    <row r="61" spans="1:15" x14ac:dyDescent="0.2">
      <c r="A61" s="2" t="s">
        <v>195</v>
      </c>
      <c r="B61" s="5">
        <v>211004</v>
      </c>
      <c r="C61" s="5">
        <v>211004</v>
      </c>
      <c r="D61" s="3">
        <f t="shared" si="1"/>
        <v>4395.916666666667</v>
      </c>
      <c r="E61" t="s">
        <v>239</v>
      </c>
      <c r="F61" t="s">
        <v>28</v>
      </c>
    </row>
    <row r="62" spans="1:15" x14ac:dyDescent="0.2">
      <c r="A62" s="2" t="s">
        <v>224</v>
      </c>
      <c r="B62" s="5">
        <v>215148.96</v>
      </c>
      <c r="C62" s="5">
        <v>215148.96</v>
      </c>
      <c r="D62" s="3">
        <f t="shared" si="1"/>
        <v>4482.2699999999995</v>
      </c>
      <c r="E62" t="s">
        <v>239</v>
      </c>
      <c r="F62" t="s">
        <v>318</v>
      </c>
    </row>
    <row r="63" spans="1:15" x14ac:dyDescent="0.2">
      <c r="A63" s="2" t="s">
        <v>193</v>
      </c>
      <c r="B63" s="5">
        <v>215165.81</v>
      </c>
      <c r="C63" s="5">
        <v>215165.81</v>
      </c>
      <c r="D63" s="3">
        <f t="shared" si="1"/>
        <v>4482.6210416666663</v>
      </c>
      <c r="E63" t="s">
        <v>239</v>
      </c>
      <c r="F63" t="s">
        <v>28</v>
      </c>
    </row>
    <row r="64" spans="1:15" x14ac:dyDescent="0.2">
      <c r="A64" s="2" t="s">
        <v>233</v>
      </c>
      <c r="B64" s="5">
        <v>215302.76</v>
      </c>
      <c r="C64" s="5">
        <v>215302.76</v>
      </c>
      <c r="D64" s="3">
        <f t="shared" si="1"/>
        <v>4485.4741666666669</v>
      </c>
      <c r="E64" t="s">
        <v>239</v>
      </c>
    </row>
    <row r="65" spans="1:6" x14ac:dyDescent="0.2">
      <c r="A65" s="2" t="s">
        <v>211</v>
      </c>
      <c r="B65" s="5">
        <v>216000</v>
      </c>
      <c r="C65" s="5">
        <v>216000</v>
      </c>
      <c r="D65" s="3">
        <f t="shared" si="1"/>
        <v>4500</v>
      </c>
      <c r="E65" t="s">
        <v>239</v>
      </c>
      <c r="F65" t="s">
        <v>318</v>
      </c>
    </row>
    <row r="66" spans="1:6" x14ac:dyDescent="0.2">
      <c r="A66" s="2" t="s">
        <v>215</v>
      </c>
      <c r="B66" s="5">
        <v>216000</v>
      </c>
      <c r="C66" s="5">
        <v>216000</v>
      </c>
      <c r="D66" s="3">
        <f t="shared" ref="D66:D97" si="2">C66/48</f>
        <v>4500</v>
      </c>
      <c r="E66" t="s">
        <v>239</v>
      </c>
      <c r="F66" t="s">
        <v>318</v>
      </c>
    </row>
    <row r="67" spans="1:6" x14ac:dyDescent="0.2">
      <c r="A67" s="2" t="s">
        <v>216</v>
      </c>
      <c r="B67" s="5">
        <v>216720</v>
      </c>
      <c r="C67" s="5">
        <v>216720</v>
      </c>
      <c r="D67" s="3">
        <f t="shared" si="2"/>
        <v>4515</v>
      </c>
      <c r="E67" t="s">
        <v>239</v>
      </c>
      <c r="F67" t="s">
        <v>318</v>
      </c>
    </row>
    <row r="68" spans="1:6" x14ac:dyDescent="0.2">
      <c r="A68" s="2" t="s">
        <v>220</v>
      </c>
      <c r="B68" s="5">
        <v>216847.8</v>
      </c>
      <c r="C68" s="5">
        <v>216847.8</v>
      </c>
      <c r="D68" s="3">
        <f t="shared" si="2"/>
        <v>4517.6624999999995</v>
      </c>
      <c r="E68" t="s">
        <v>239</v>
      </c>
      <c r="F68" t="s">
        <v>318</v>
      </c>
    </row>
    <row r="69" spans="1:6" x14ac:dyDescent="0.2">
      <c r="A69" s="2" t="s">
        <v>219</v>
      </c>
      <c r="B69" s="5">
        <v>217500</v>
      </c>
      <c r="C69" s="5">
        <v>217500</v>
      </c>
      <c r="D69" s="3">
        <f t="shared" si="2"/>
        <v>4531.25</v>
      </c>
      <c r="E69" t="s">
        <v>239</v>
      </c>
      <c r="F69" t="s">
        <v>318</v>
      </c>
    </row>
    <row r="70" spans="1:6" x14ac:dyDescent="0.2">
      <c r="A70" s="2" t="s">
        <v>192</v>
      </c>
      <c r="B70" s="5">
        <v>217644.17</v>
      </c>
      <c r="C70" s="5">
        <v>217644.17</v>
      </c>
      <c r="D70" s="3">
        <f t="shared" si="2"/>
        <v>4534.2535416666669</v>
      </c>
      <c r="E70" t="s">
        <v>239</v>
      </c>
      <c r="F70" t="s">
        <v>28</v>
      </c>
    </row>
    <row r="71" spans="1:6" x14ac:dyDescent="0.2">
      <c r="A71" s="2" t="s">
        <v>202</v>
      </c>
      <c r="B71" s="5">
        <v>224640</v>
      </c>
      <c r="C71" s="5">
        <v>224640</v>
      </c>
      <c r="D71" s="3">
        <f t="shared" si="2"/>
        <v>4680</v>
      </c>
      <c r="E71" t="s">
        <v>239</v>
      </c>
      <c r="F71" t="s">
        <v>318</v>
      </c>
    </row>
    <row r="72" spans="1:6" x14ac:dyDescent="0.2">
      <c r="A72" s="2" t="s">
        <v>230</v>
      </c>
      <c r="B72" s="5">
        <v>224640</v>
      </c>
      <c r="C72" s="5">
        <v>224640</v>
      </c>
      <c r="D72" s="3">
        <f t="shared" si="2"/>
        <v>4680</v>
      </c>
      <c r="E72" t="s">
        <v>239</v>
      </c>
      <c r="F72" t="s">
        <v>318</v>
      </c>
    </row>
    <row r="73" spans="1:6" x14ac:dyDescent="0.2">
      <c r="A73" s="2" t="s">
        <v>287</v>
      </c>
      <c r="B73" s="5">
        <v>225000</v>
      </c>
      <c r="C73" s="5">
        <v>225000</v>
      </c>
      <c r="D73" s="3">
        <f t="shared" si="2"/>
        <v>4687.5</v>
      </c>
      <c r="E73" t="s">
        <v>239</v>
      </c>
      <c r="F73" t="s">
        <v>318</v>
      </c>
    </row>
    <row r="74" spans="1:6" x14ac:dyDescent="0.2">
      <c r="A74" s="2" t="s">
        <v>173</v>
      </c>
      <c r="B74" s="5">
        <v>231660</v>
      </c>
      <c r="C74" s="5">
        <v>231660</v>
      </c>
      <c r="D74" s="3">
        <f t="shared" si="2"/>
        <v>4826.25</v>
      </c>
      <c r="E74" t="s">
        <v>239</v>
      </c>
      <c r="F74" t="s">
        <v>318</v>
      </c>
    </row>
    <row r="75" spans="1:6" x14ac:dyDescent="0.2">
      <c r="A75" s="2" t="s">
        <v>208</v>
      </c>
      <c r="B75" s="5">
        <v>235643.84</v>
      </c>
      <c r="C75" s="5">
        <v>235643.84</v>
      </c>
      <c r="D75" s="3">
        <f t="shared" si="2"/>
        <v>4909.2466666666669</v>
      </c>
      <c r="E75" t="s">
        <v>239</v>
      </c>
      <c r="F75" t="s">
        <v>318</v>
      </c>
    </row>
    <row r="76" spans="1:6" x14ac:dyDescent="0.2">
      <c r="A76" s="2" t="s">
        <v>201</v>
      </c>
      <c r="B76" s="5">
        <v>239031</v>
      </c>
      <c r="C76" s="5">
        <v>239031</v>
      </c>
      <c r="D76" s="3">
        <f t="shared" si="2"/>
        <v>4979.8125</v>
      </c>
      <c r="E76" t="s">
        <v>239</v>
      </c>
      <c r="F76" t="s">
        <v>318</v>
      </c>
    </row>
    <row r="77" spans="1:6" x14ac:dyDescent="0.2">
      <c r="A77" s="2" t="s">
        <v>203</v>
      </c>
      <c r="B77" s="6">
        <v>240000</v>
      </c>
      <c r="C77" s="5">
        <v>240000</v>
      </c>
      <c r="D77" s="3">
        <f t="shared" si="2"/>
        <v>5000</v>
      </c>
      <c r="E77" t="s">
        <v>239</v>
      </c>
      <c r="F77" t="s">
        <v>318</v>
      </c>
    </row>
    <row r="78" spans="1:6" x14ac:dyDescent="0.2">
      <c r="A78" s="2" t="s">
        <v>222</v>
      </c>
      <c r="B78" s="5">
        <v>245700</v>
      </c>
      <c r="C78" s="5">
        <v>245700</v>
      </c>
      <c r="D78" s="3">
        <f t="shared" si="2"/>
        <v>5118.75</v>
      </c>
      <c r="E78" t="s">
        <v>239</v>
      </c>
    </row>
    <row r="79" spans="1:6" x14ac:dyDescent="0.2">
      <c r="A79" s="2" t="s">
        <v>190</v>
      </c>
      <c r="B79" s="6">
        <v>250008</v>
      </c>
      <c r="C79" s="5">
        <v>250008</v>
      </c>
      <c r="D79" s="3">
        <f t="shared" si="2"/>
        <v>5208.5</v>
      </c>
      <c r="E79" t="s">
        <v>239</v>
      </c>
      <c r="F79" t="s">
        <v>318</v>
      </c>
    </row>
    <row r="80" spans="1:6" x14ac:dyDescent="0.2">
      <c r="A80" s="2" t="s">
        <v>255</v>
      </c>
      <c r="B80" s="5">
        <v>251487.12</v>
      </c>
      <c r="C80" s="5">
        <v>251487.12</v>
      </c>
      <c r="D80" s="3">
        <f t="shared" si="2"/>
        <v>5239.3149999999996</v>
      </c>
      <c r="E80" t="s">
        <v>257</v>
      </c>
    </row>
    <row r="81" spans="1:6" x14ac:dyDescent="0.2">
      <c r="A81" s="2" t="s">
        <v>259</v>
      </c>
      <c r="B81" s="5">
        <v>257528.7</v>
      </c>
      <c r="C81" s="5">
        <v>257528.7</v>
      </c>
      <c r="D81" s="3">
        <f t="shared" si="2"/>
        <v>5365.1812500000005</v>
      </c>
      <c r="E81" t="s">
        <v>239</v>
      </c>
      <c r="F81" t="s">
        <v>318</v>
      </c>
    </row>
    <row r="82" spans="1:6" x14ac:dyDescent="0.2">
      <c r="A82" s="2" t="s">
        <v>184</v>
      </c>
      <c r="B82" s="5">
        <v>266993.23</v>
      </c>
      <c r="C82" s="5">
        <v>266993.23</v>
      </c>
      <c r="D82" s="3">
        <f t="shared" si="2"/>
        <v>5562.3589583333332</v>
      </c>
      <c r="E82" t="s">
        <v>239</v>
      </c>
    </row>
    <row r="83" spans="1:6" x14ac:dyDescent="0.2">
      <c r="A83" s="2" t="s">
        <v>212</v>
      </c>
      <c r="B83" s="5">
        <v>270000</v>
      </c>
      <c r="C83" s="5">
        <v>270000</v>
      </c>
      <c r="D83" s="3">
        <f t="shared" si="2"/>
        <v>5625</v>
      </c>
      <c r="E83" t="s">
        <v>239</v>
      </c>
      <c r="F83" t="s">
        <v>318</v>
      </c>
    </row>
    <row r="84" spans="1:6" x14ac:dyDescent="0.2">
      <c r="A84" s="2" t="s">
        <v>262</v>
      </c>
      <c r="B84" s="5">
        <v>270000</v>
      </c>
      <c r="C84" s="5">
        <v>270000</v>
      </c>
      <c r="D84" s="3">
        <f t="shared" si="2"/>
        <v>5625</v>
      </c>
      <c r="E84" t="s">
        <v>274</v>
      </c>
    </row>
    <row r="85" spans="1:6" x14ac:dyDescent="0.2">
      <c r="A85" s="2" t="s">
        <v>280</v>
      </c>
      <c r="B85" s="5">
        <v>273873.28767123289</v>
      </c>
      <c r="C85" s="5">
        <v>273873.28767123289</v>
      </c>
      <c r="D85" s="3">
        <f t="shared" si="2"/>
        <v>5705.6934931506848</v>
      </c>
      <c r="E85" t="s">
        <v>239</v>
      </c>
    </row>
    <row r="86" spans="1:6" x14ac:dyDescent="0.2">
      <c r="A86" s="2" t="s">
        <v>213</v>
      </c>
      <c r="B86" s="5">
        <v>277200</v>
      </c>
      <c r="C86" s="5">
        <v>277200</v>
      </c>
      <c r="D86" s="3">
        <f t="shared" si="2"/>
        <v>5775</v>
      </c>
      <c r="E86" t="s">
        <v>239</v>
      </c>
      <c r="F86" t="s">
        <v>318</v>
      </c>
    </row>
    <row r="87" spans="1:6" x14ac:dyDescent="0.2">
      <c r="A87" s="2" t="s">
        <v>225</v>
      </c>
      <c r="B87" s="5">
        <v>286872.3</v>
      </c>
      <c r="C87" s="5">
        <v>286872.3</v>
      </c>
      <c r="D87" s="3">
        <f t="shared" si="2"/>
        <v>5976.5062499999995</v>
      </c>
      <c r="E87" t="s">
        <v>239</v>
      </c>
      <c r="F87" t="s">
        <v>318</v>
      </c>
    </row>
    <row r="88" spans="1:6" x14ac:dyDescent="0.2">
      <c r="A88" s="2" t="s">
        <v>268</v>
      </c>
      <c r="B88" s="5">
        <v>286984.11</v>
      </c>
      <c r="C88" s="5">
        <v>286984.11</v>
      </c>
      <c r="D88" s="3">
        <f t="shared" si="2"/>
        <v>5978.8356249999997</v>
      </c>
      <c r="E88" t="s">
        <v>274</v>
      </c>
    </row>
    <row r="89" spans="1:6" x14ac:dyDescent="0.2">
      <c r="A89" s="2" t="s">
        <v>228</v>
      </c>
      <c r="B89" s="5">
        <v>287258.40000000002</v>
      </c>
      <c r="C89" s="5">
        <v>287258.40000000002</v>
      </c>
      <c r="D89" s="3">
        <f t="shared" si="2"/>
        <v>5984.55</v>
      </c>
      <c r="E89" t="s">
        <v>239</v>
      </c>
    </row>
    <row r="90" spans="1:6" x14ac:dyDescent="0.2">
      <c r="A90" s="2" t="s">
        <v>231</v>
      </c>
      <c r="B90" s="5">
        <v>288000</v>
      </c>
      <c r="C90" s="5">
        <v>288000</v>
      </c>
      <c r="D90" s="3">
        <f t="shared" si="2"/>
        <v>6000</v>
      </c>
      <c r="E90" t="s">
        <v>239</v>
      </c>
      <c r="F90" t="s">
        <v>318</v>
      </c>
    </row>
    <row r="91" spans="1:6" x14ac:dyDescent="0.2">
      <c r="A91" s="2" t="s">
        <v>226</v>
      </c>
      <c r="B91" s="5">
        <v>297852.98</v>
      </c>
      <c r="C91" s="5">
        <v>297852.98</v>
      </c>
      <c r="D91" s="3">
        <f t="shared" si="2"/>
        <v>6205.2704166666663</v>
      </c>
      <c r="E91" t="s">
        <v>239</v>
      </c>
      <c r="F91" t="s">
        <v>318</v>
      </c>
    </row>
    <row r="92" spans="1:6" x14ac:dyDescent="0.2">
      <c r="A92" s="2" t="s">
        <v>269</v>
      </c>
      <c r="B92" s="5">
        <v>369080.31</v>
      </c>
      <c r="C92" s="5">
        <v>300000</v>
      </c>
      <c r="D92" s="3">
        <f t="shared" si="2"/>
        <v>6250</v>
      </c>
      <c r="E92" t="s">
        <v>274</v>
      </c>
    </row>
    <row r="93" spans="1:6" x14ac:dyDescent="0.2">
      <c r="A93" s="2" t="s">
        <v>240</v>
      </c>
      <c r="B93" s="5">
        <v>305000</v>
      </c>
      <c r="C93" s="5">
        <v>305000</v>
      </c>
      <c r="D93" s="3">
        <f t="shared" si="2"/>
        <v>6354.166666666667</v>
      </c>
      <c r="E93" t="s">
        <v>257</v>
      </c>
    </row>
    <row r="94" spans="1:6" x14ac:dyDescent="0.2">
      <c r="A94" s="2" t="s">
        <v>270</v>
      </c>
      <c r="B94" s="5">
        <v>308490</v>
      </c>
      <c r="C94" s="5">
        <v>308490</v>
      </c>
      <c r="D94" s="3">
        <f t="shared" si="2"/>
        <v>6426.875</v>
      </c>
      <c r="E94" t="s">
        <v>274</v>
      </c>
    </row>
    <row r="95" spans="1:6" x14ac:dyDescent="0.2">
      <c r="A95" s="2" t="s">
        <v>273</v>
      </c>
      <c r="B95" s="5">
        <v>315863.01</v>
      </c>
      <c r="C95" s="5">
        <v>315863.01</v>
      </c>
      <c r="D95" s="3">
        <f t="shared" si="2"/>
        <v>6580.4793749999999</v>
      </c>
      <c r="E95" t="s">
        <v>274</v>
      </c>
    </row>
    <row r="96" spans="1:6" x14ac:dyDescent="0.2">
      <c r="A96" s="2" t="s">
        <v>254</v>
      </c>
      <c r="B96" s="5">
        <v>321197.59000000003</v>
      </c>
      <c r="C96" s="5">
        <v>321197.59000000003</v>
      </c>
      <c r="D96" s="3">
        <f t="shared" si="2"/>
        <v>6691.6164583333339</v>
      </c>
      <c r="E96" t="s">
        <v>257</v>
      </c>
    </row>
    <row r="97" spans="1:6" x14ac:dyDescent="0.2">
      <c r="A97" s="2" t="s">
        <v>267</v>
      </c>
      <c r="B97" s="5">
        <v>326998.59000000003</v>
      </c>
      <c r="C97" s="5">
        <v>326998.59000000003</v>
      </c>
      <c r="D97" s="3">
        <f t="shared" si="2"/>
        <v>6812.4706250000008</v>
      </c>
      <c r="E97" t="s">
        <v>274</v>
      </c>
    </row>
    <row r="98" spans="1:6" x14ac:dyDescent="0.2">
      <c r="A98" s="2" t="s">
        <v>180</v>
      </c>
      <c r="B98" s="5">
        <v>350094</v>
      </c>
      <c r="C98" s="5">
        <v>350094</v>
      </c>
      <c r="D98" s="3">
        <f t="shared" ref="D98:D129" si="3">C98/48</f>
        <v>7293.625</v>
      </c>
      <c r="E98" t="s">
        <v>239</v>
      </c>
    </row>
    <row r="99" spans="1:6" x14ac:dyDescent="0.2">
      <c r="A99" s="2" t="s">
        <v>260</v>
      </c>
      <c r="B99" s="5">
        <v>353766.58</v>
      </c>
      <c r="C99" s="5">
        <v>353766.58</v>
      </c>
      <c r="D99" s="3">
        <f t="shared" si="3"/>
        <v>7370.137083333334</v>
      </c>
      <c r="E99" t="s">
        <v>239</v>
      </c>
      <c r="F99" t="s">
        <v>318</v>
      </c>
    </row>
    <row r="100" spans="1:6" x14ac:dyDescent="0.2">
      <c r="A100" s="2" t="s">
        <v>194</v>
      </c>
      <c r="B100" s="5">
        <v>355345.89</v>
      </c>
      <c r="C100" s="5">
        <v>355345.89</v>
      </c>
      <c r="D100" s="3">
        <f t="shared" si="3"/>
        <v>7403.0393750000003</v>
      </c>
      <c r="E100" t="s">
        <v>239</v>
      </c>
      <c r="F100" t="s">
        <v>28</v>
      </c>
    </row>
    <row r="101" spans="1:6" x14ac:dyDescent="0.2">
      <c r="A101" s="2" t="s">
        <v>266</v>
      </c>
      <c r="B101" s="5">
        <v>360000</v>
      </c>
      <c r="C101" s="5">
        <v>360000</v>
      </c>
      <c r="D101" s="3">
        <f t="shared" si="3"/>
        <v>7500</v>
      </c>
      <c r="E101" t="s">
        <v>274</v>
      </c>
    </row>
    <row r="102" spans="1:6" x14ac:dyDescent="0.2">
      <c r="A102" s="28" t="s">
        <v>286</v>
      </c>
      <c r="B102" s="5">
        <v>386054.79452054796</v>
      </c>
      <c r="C102" s="5">
        <v>386054.79452054796</v>
      </c>
      <c r="D102" s="3">
        <f t="shared" si="3"/>
        <v>8042.8082191780823</v>
      </c>
      <c r="E102" t="s">
        <v>239</v>
      </c>
    </row>
    <row r="103" spans="1:6" x14ac:dyDescent="0.2">
      <c r="A103" s="2" t="s">
        <v>179</v>
      </c>
      <c r="B103" s="5">
        <v>403602.67</v>
      </c>
      <c r="C103" s="5">
        <v>403602.67</v>
      </c>
      <c r="D103" s="3">
        <f t="shared" si="3"/>
        <v>8408.388958333333</v>
      </c>
      <c r="E103" t="s">
        <v>239</v>
      </c>
      <c r="F103" t="s">
        <v>318</v>
      </c>
    </row>
    <row r="104" spans="1:6" x14ac:dyDescent="0.2">
      <c r="A104" s="2" t="s">
        <v>261</v>
      </c>
      <c r="B104" s="5">
        <v>403760</v>
      </c>
      <c r="C104" s="5">
        <v>403760</v>
      </c>
      <c r="D104" s="3">
        <f t="shared" si="3"/>
        <v>8411.6666666666661</v>
      </c>
      <c r="E104" t="s">
        <v>274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won_opps_2026_normalized</vt:lpstr>
      <vt:lpstr>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Shelly Grossman</dc:creator>
  <cp:lastModifiedBy>Shelly Grossman</cp:lastModifiedBy>
  <dcterms:created xsi:type="dcterms:W3CDTF">2026-06-10T09:35:21Z</dcterms:created>
  <dcterms:modified xsi:type="dcterms:W3CDTF">2026-06-11T16:28:19Z</dcterms:modified>
</cp:coreProperties>
</file>